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av300725\Downloads\003 - Big Five (BFQ)\"/>
    </mc:Choice>
  </mc:AlternateContent>
  <xr:revisionPtr revIDLastSave="0" documentId="13_ncr:1_{7751953F-66FA-4B8E-8FDF-CD1E8C88AE42}" xr6:coauthVersionLast="47" xr6:coauthVersionMax="47" xr10:uidLastSave="{00000000-0000-0000-0000-000000000000}"/>
  <bookViews>
    <workbookView xWindow="780" yWindow="780" windowWidth="26640" windowHeight="13965" xr2:uid="{0CC0FE98-F19C-46DE-B38E-ED66B28139BF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2" l="1"/>
  <c r="C32" i="2"/>
  <c r="C31" i="2"/>
  <c r="C30" i="2"/>
  <c r="C29" i="2"/>
  <c r="C28" i="2"/>
  <c r="C27" i="2"/>
  <c r="C26" i="2"/>
  <c r="C25" i="2"/>
  <c r="C24" i="2"/>
  <c r="C22" i="2"/>
  <c r="C21" i="2"/>
  <c r="C20" i="2"/>
  <c r="C19" i="2"/>
  <c r="C18" i="2"/>
  <c r="C17" i="2"/>
  <c r="G13" i="2"/>
  <c r="G12" i="2"/>
  <c r="D31" i="2" s="1"/>
  <c r="W11" i="2"/>
  <c r="G11" i="2"/>
  <c r="G10" i="2"/>
  <c r="G9" i="2"/>
  <c r="G8" i="2"/>
  <c r="P817" i="1"/>
  <c r="Q817" i="1" s="1"/>
  <c r="O817" i="1" s="1"/>
  <c r="N817" i="1"/>
  <c r="M817" i="1"/>
  <c r="L817" i="1"/>
  <c r="K817" i="1"/>
  <c r="J817" i="1"/>
  <c r="P811" i="1"/>
  <c r="Q811" i="1" s="1"/>
  <c r="O811" i="1" s="1"/>
  <c r="N811" i="1"/>
  <c r="M811" i="1"/>
  <c r="L811" i="1"/>
  <c r="K811" i="1"/>
  <c r="J811" i="1"/>
  <c r="P805" i="1"/>
  <c r="Q805" i="1" s="1"/>
  <c r="O805" i="1" s="1"/>
  <c r="N805" i="1"/>
  <c r="M805" i="1"/>
  <c r="L805" i="1"/>
  <c r="K805" i="1"/>
  <c r="J805" i="1"/>
  <c r="P799" i="1"/>
  <c r="Q799" i="1" s="1"/>
  <c r="O799" i="1" s="1"/>
  <c r="N799" i="1"/>
  <c r="M799" i="1"/>
  <c r="L799" i="1"/>
  <c r="K799" i="1"/>
  <c r="J799" i="1"/>
  <c r="P793" i="1"/>
  <c r="Q793" i="1" s="1"/>
  <c r="O793" i="1" s="1"/>
  <c r="N793" i="1"/>
  <c r="M793" i="1"/>
  <c r="L793" i="1"/>
  <c r="K793" i="1"/>
  <c r="J793" i="1"/>
  <c r="P787" i="1"/>
  <c r="Q787" i="1" s="1"/>
  <c r="O787" i="1" s="1"/>
  <c r="N787" i="1"/>
  <c r="M787" i="1"/>
  <c r="L787" i="1"/>
  <c r="K787" i="1"/>
  <c r="J787" i="1"/>
  <c r="P781" i="1"/>
  <c r="Q781" i="1" s="1"/>
  <c r="O781" i="1" s="1"/>
  <c r="N781" i="1"/>
  <c r="M781" i="1"/>
  <c r="L781" i="1"/>
  <c r="K781" i="1"/>
  <c r="J781" i="1"/>
  <c r="P775" i="1"/>
  <c r="Q775" i="1" s="1"/>
  <c r="O775" i="1" s="1"/>
  <c r="N775" i="1"/>
  <c r="M775" i="1"/>
  <c r="L775" i="1"/>
  <c r="K775" i="1"/>
  <c r="J775" i="1"/>
  <c r="P769" i="1"/>
  <c r="Q769" i="1" s="1"/>
  <c r="O769" i="1" s="1"/>
  <c r="N769" i="1"/>
  <c r="M769" i="1"/>
  <c r="L769" i="1"/>
  <c r="K769" i="1"/>
  <c r="J769" i="1"/>
  <c r="P763" i="1"/>
  <c r="Q763" i="1" s="1"/>
  <c r="O763" i="1" s="1"/>
  <c r="N763" i="1"/>
  <c r="M763" i="1"/>
  <c r="L763" i="1"/>
  <c r="K763" i="1"/>
  <c r="J763" i="1"/>
  <c r="P757" i="1"/>
  <c r="Q757" i="1" s="1"/>
  <c r="O757" i="1" s="1"/>
  <c r="N757" i="1"/>
  <c r="M757" i="1"/>
  <c r="L757" i="1"/>
  <c r="K757" i="1"/>
  <c r="J757" i="1"/>
  <c r="P751" i="1"/>
  <c r="Q751" i="1" s="1"/>
  <c r="O751" i="1" s="1"/>
  <c r="N751" i="1"/>
  <c r="M751" i="1"/>
  <c r="L751" i="1"/>
  <c r="K751" i="1"/>
  <c r="J751" i="1"/>
  <c r="P745" i="1"/>
  <c r="Q745" i="1" s="1"/>
  <c r="O745" i="1" s="1"/>
  <c r="N745" i="1"/>
  <c r="M745" i="1"/>
  <c r="L745" i="1"/>
  <c r="K745" i="1"/>
  <c r="J745" i="1"/>
  <c r="P739" i="1"/>
  <c r="Q739" i="1" s="1"/>
  <c r="O739" i="1" s="1"/>
  <c r="N739" i="1"/>
  <c r="M739" i="1"/>
  <c r="L739" i="1"/>
  <c r="K739" i="1"/>
  <c r="J739" i="1"/>
  <c r="P733" i="1"/>
  <c r="Q733" i="1" s="1"/>
  <c r="O733" i="1" s="1"/>
  <c r="N733" i="1"/>
  <c r="M733" i="1"/>
  <c r="L733" i="1"/>
  <c r="K733" i="1"/>
  <c r="J733" i="1"/>
  <c r="P727" i="1"/>
  <c r="Q727" i="1" s="1"/>
  <c r="O727" i="1" s="1"/>
  <c r="N727" i="1"/>
  <c r="M727" i="1"/>
  <c r="L727" i="1"/>
  <c r="K727" i="1"/>
  <c r="J727" i="1"/>
  <c r="P721" i="1"/>
  <c r="Q721" i="1" s="1"/>
  <c r="O721" i="1" s="1"/>
  <c r="N721" i="1"/>
  <c r="M721" i="1"/>
  <c r="L721" i="1"/>
  <c r="K721" i="1"/>
  <c r="J721" i="1"/>
  <c r="P715" i="1"/>
  <c r="Q715" i="1" s="1"/>
  <c r="O715" i="1" s="1"/>
  <c r="N715" i="1"/>
  <c r="M715" i="1"/>
  <c r="L715" i="1"/>
  <c r="K715" i="1"/>
  <c r="J715" i="1"/>
  <c r="P709" i="1"/>
  <c r="Q709" i="1" s="1"/>
  <c r="O709" i="1" s="1"/>
  <c r="N709" i="1"/>
  <c r="M709" i="1"/>
  <c r="L709" i="1"/>
  <c r="K709" i="1"/>
  <c r="J709" i="1"/>
  <c r="P703" i="1"/>
  <c r="Q703" i="1" s="1"/>
  <c r="O703" i="1" s="1"/>
  <c r="N703" i="1"/>
  <c r="M703" i="1"/>
  <c r="L703" i="1"/>
  <c r="K703" i="1"/>
  <c r="J703" i="1"/>
  <c r="P697" i="1"/>
  <c r="Q697" i="1" s="1"/>
  <c r="O697" i="1" s="1"/>
  <c r="N697" i="1"/>
  <c r="M697" i="1"/>
  <c r="L697" i="1"/>
  <c r="K697" i="1"/>
  <c r="J697" i="1"/>
  <c r="P691" i="1"/>
  <c r="Q691" i="1" s="1"/>
  <c r="O691" i="1" s="1"/>
  <c r="N691" i="1"/>
  <c r="M691" i="1"/>
  <c r="L691" i="1"/>
  <c r="K691" i="1"/>
  <c r="J691" i="1"/>
  <c r="P685" i="1"/>
  <c r="Q685" i="1" s="1"/>
  <c r="O685" i="1" s="1"/>
  <c r="N685" i="1"/>
  <c r="M685" i="1"/>
  <c r="L685" i="1"/>
  <c r="K685" i="1"/>
  <c r="J685" i="1"/>
  <c r="P679" i="1"/>
  <c r="Q679" i="1" s="1"/>
  <c r="O679" i="1" s="1"/>
  <c r="N679" i="1"/>
  <c r="M679" i="1"/>
  <c r="L679" i="1"/>
  <c r="K679" i="1"/>
  <c r="J679" i="1"/>
  <c r="P673" i="1"/>
  <c r="Q673" i="1" s="1"/>
  <c r="O673" i="1" s="1"/>
  <c r="N673" i="1"/>
  <c r="M673" i="1"/>
  <c r="L673" i="1"/>
  <c r="K673" i="1"/>
  <c r="J673" i="1"/>
  <c r="P667" i="1"/>
  <c r="Q667" i="1" s="1"/>
  <c r="O667" i="1" s="1"/>
  <c r="N667" i="1"/>
  <c r="M667" i="1"/>
  <c r="L667" i="1"/>
  <c r="K667" i="1"/>
  <c r="J667" i="1"/>
  <c r="P661" i="1"/>
  <c r="Q661" i="1" s="1"/>
  <c r="O661" i="1" s="1"/>
  <c r="N661" i="1"/>
  <c r="M661" i="1"/>
  <c r="L661" i="1"/>
  <c r="K661" i="1"/>
  <c r="J661" i="1"/>
  <c r="P655" i="1"/>
  <c r="Q655" i="1" s="1"/>
  <c r="O655" i="1" s="1"/>
  <c r="N655" i="1"/>
  <c r="M655" i="1"/>
  <c r="L655" i="1"/>
  <c r="K655" i="1"/>
  <c r="J655" i="1"/>
  <c r="P649" i="1"/>
  <c r="Q649" i="1" s="1"/>
  <c r="O649" i="1" s="1"/>
  <c r="N649" i="1"/>
  <c r="M649" i="1"/>
  <c r="L649" i="1"/>
  <c r="K649" i="1"/>
  <c r="J649" i="1"/>
  <c r="P643" i="1"/>
  <c r="Q643" i="1" s="1"/>
  <c r="O643" i="1" s="1"/>
  <c r="N643" i="1"/>
  <c r="M643" i="1"/>
  <c r="L643" i="1"/>
  <c r="K643" i="1"/>
  <c r="J643" i="1"/>
  <c r="P637" i="1"/>
  <c r="Q637" i="1" s="1"/>
  <c r="O637" i="1" s="1"/>
  <c r="N637" i="1"/>
  <c r="M637" i="1"/>
  <c r="L637" i="1"/>
  <c r="K637" i="1"/>
  <c r="J637" i="1"/>
  <c r="P631" i="1"/>
  <c r="Q631" i="1" s="1"/>
  <c r="O631" i="1" s="1"/>
  <c r="N631" i="1"/>
  <c r="M631" i="1"/>
  <c r="L631" i="1"/>
  <c r="K631" i="1"/>
  <c r="J631" i="1"/>
  <c r="P625" i="1"/>
  <c r="Q625" i="1" s="1"/>
  <c r="O625" i="1" s="1"/>
  <c r="N625" i="1"/>
  <c r="M625" i="1"/>
  <c r="L625" i="1"/>
  <c r="K625" i="1"/>
  <c r="J625" i="1"/>
  <c r="P619" i="1"/>
  <c r="Q619" i="1" s="1"/>
  <c r="O619" i="1" s="1"/>
  <c r="N619" i="1"/>
  <c r="M619" i="1"/>
  <c r="L619" i="1"/>
  <c r="K619" i="1"/>
  <c r="J619" i="1"/>
  <c r="P613" i="1"/>
  <c r="Q613" i="1" s="1"/>
  <c r="O613" i="1" s="1"/>
  <c r="N613" i="1"/>
  <c r="M613" i="1"/>
  <c r="L613" i="1"/>
  <c r="K613" i="1"/>
  <c r="J613" i="1"/>
  <c r="P607" i="1"/>
  <c r="Q607" i="1" s="1"/>
  <c r="O607" i="1" s="1"/>
  <c r="N607" i="1"/>
  <c r="M607" i="1"/>
  <c r="L607" i="1"/>
  <c r="K607" i="1"/>
  <c r="J607" i="1"/>
  <c r="P601" i="1"/>
  <c r="Q601" i="1" s="1"/>
  <c r="O601" i="1" s="1"/>
  <c r="N601" i="1"/>
  <c r="M601" i="1"/>
  <c r="L601" i="1"/>
  <c r="K601" i="1"/>
  <c r="J601" i="1"/>
  <c r="P595" i="1"/>
  <c r="Q595" i="1" s="1"/>
  <c r="O595" i="1" s="1"/>
  <c r="N595" i="1"/>
  <c r="M595" i="1"/>
  <c r="L595" i="1"/>
  <c r="K595" i="1"/>
  <c r="J595" i="1"/>
  <c r="P589" i="1"/>
  <c r="Q589" i="1" s="1"/>
  <c r="O589" i="1" s="1"/>
  <c r="N589" i="1"/>
  <c r="M589" i="1"/>
  <c r="L589" i="1"/>
  <c r="K589" i="1"/>
  <c r="J589" i="1"/>
  <c r="P583" i="1"/>
  <c r="Q583" i="1" s="1"/>
  <c r="O583" i="1" s="1"/>
  <c r="N583" i="1"/>
  <c r="M583" i="1"/>
  <c r="L583" i="1"/>
  <c r="K583" i="1"/>
  <c r="J583" i="1"/>
  <c r="P577" i="1"/>
  <c r="Q577" i="1" s="1"/>
  <c r="O577" i="1" s="1"/>
  <c r="N577" i="1"/>
  <c r="M577" i="1"/>
  <c r="L577" i="1"/>
  <c r="K577" i="1"/>
  <c r="J577" i="1"/>
  <c r="P571" i="1"/>
  <c r="Q571" i="1" s="1"/>
  <c r="O571" i="1" s="1"/>
  <c r="N571" i="1"/>
  <c r="M571" i="1"/>
  <c r="L571" i="1"/>
  <c r="K571" i="1"/>
  <c r="J571" i="1"/>
  <c r="P565" i="1"/>
  <c r="Q565" i="1" s="1"/>
  <c r="O565" i="1" s="1"/>
  <c r="N565" i="1"/>
  <c r="M565" i="1"/>
  <c r="L565" i="1"/>
  <c r="K565" i="1"/>
  <c r="J565" i="1"/>
  <c r="P559" i="1"/>
  <c r="Q559" i="1" s="1"/>
  <c r="O559" i="1" s="1"/>
  <c r="N559" i="1"/>
  <c r="M559" i="1"/>
  <c r="L559" i="1"/>
  <c r="K559" i="1"/>
  <c r="J559" i="1"/>
  <c r="P553" i="1"/>
  <c r="Q553" i="1" s="1"/>
  <c r="O553" i="1" s="1"/>
  <c r="N553" i="1"/>
  <c r="M553" i="1"/>
  <c r="L553" i="1"/>
  <c r="K553" i="1"/>
  <c r="J553" i="1"/>
  <c r="P547" i="1"/>
  <c r="Q547" i="1" s="1"/>
  <c r="O547" i="1" s="1"/>
  <c r="N547" i="1"/>
  <c r="M547" i="1"/>
  <c r="L547" i="1"/>
  <c r="K547" i="1"/>
  <c r="J547" i="1"/>
  <c r="P541" i="1"/>
  <c r="Q541" i="1" s="1"/>
  <c r="O541" i="1" s="1"/>
  <c r="N541" i="1"/>
  <c r="M541" i="1"/>
  <c r="L541" i="1"/>
  <c r="K541" i="1"/>
  <c r="J541" i="1"/>
  <c r="P535" i="1"/>
  <c r="Q535" i="1" s="1"/>
  <c r="O535" i="1" s="1"/>
  <c r="N535" i="1"/>
  <c r="M535" i="1"/>
  <c r="L535" i="1"/>
  <c r="K535" i="1"/>
  <c r="J535" i="1"/>
  <c r="P529" i="1"/>
  <c r="Q529" i="1" s="1"/>
  <c r="O529" i="1" s="1"/>
  <c r="N529" i="1"/>
  <c r="M529" i="1"/>
  <c r="L529" i="1"/>
  <c r="K529" i="1"/>
  <c r="J529" i="1"/>
  <c r="P523" i="1"/>
  <c r="Q523" i="1" s="1"/>
  <c r="O523" i="1" s="1"/>
  <c r="N523" i="1"/>
  <c r="M523" i="1"/>
  <c r="L523" i="1"/>
  <c r="K523" i="1"/>
  <c r="J523" i="1"/>
  <c r="P517" i="1"/>
  <c r="Q517" i="1" s="1"/>
  <c r="O517" i="1" s="1"/>
  <c r="N517" i="1"/>
  <c r="M517" i="1"/>
  <c r="L517" i="1"/>
  <c r="K517" i="1"/>
  <c r="J517" i="1"/>
  <c r="P511" i="1"/>
  <c r="Q511" i="1" s="1"/>
  <c r="O511" i="1" s="1"/>
  <c r="N511" i="1"/>
  <c r="M511" i="1"/>
  <c r="L511" i="1"/>
  <c r="K511" i="1"/>
  <c r="J511" i="1"/>
  <c r="P505" i="1"/>
  <c r="Q505" i="1" s="1"/>
  <c r="O505" i="1" s="1"/>
  <c r="N505" i="1"/>
  <c r="M505" i="1"/>
  <c r="L505" i="1"/>
  <c r="K505" i="1"/>
  <c r="J505" i="1"/>
  <c r="P499" i="1"/>
  <c r="Q499" i="1" s="1"/>
  <c r="O499" i="1" s="1"/>
  <c r="N499" i="1"/>
  <c r="M499" i="1"/>
  <c r="L499" i="1"/>
  <c r="K499" i="1"/>
  <c r="J499" i="1"/>
  <c r="P493" i="1"/>
  <c r="Q493" i="1" s="1"/>
  <c r="O493" i="1" s="1"/>
  <c r="N493" i="1"/>
  <c r="M493" i="1"/>
  <c r="L493" i="1"/>
  <c r="K493" i="1"/>
  <c r="J493" i="1"/>
  <c r="P487" i="1"/>
  <c r="Q487" i="1" s="1"/>
  <c r="O487" i="1" s="1"/>
  <c r="N487" i="1"/>
  <c r="M487" i="1"/>
  <c r="L487" i="1"/>
  <c r="K487" i="1"/>
  <c r="J487" i="1"/>
  <c r="P481" i="1"/>
  <c r="Q481" i="1" s="1"/>
  <c r="O481" i="1" s="1"/>
  <c r="N481" i="1"/>
  <c r="M481" i="1"/>
  <c r="L481" i="1"/>
  <c r="K481" i="1"/>
  <c r="J481" i="1"/>
  <c r="P475" i="1"/>
  <c r="Q475" i="1" s="1"/>
  <c r="O475" i="1" s="1"/>
  <c r="N475" i="1"/>
  <c r="M475" i="1"/>
  <c r="L475" i="1"/>
  <c r="K475" i="1"/>
  <c r="J475" i="1"/>
  <c r="P469" i="1"/>
  <c r="Q469" i="1" s="1"/>
  <c r="O469" i="1" s="1"/>
  <c r="N469" i="1"/>
  <c r="M469" i="1"/>
  <c r="L469" i="1"/>
  <c r="K469" i="1"/>
  <c r="J469" i="1"/>
  <c r="P463" i="1"/>
  <c r="Q463" i="1" s="1"/>
  <c r="O463" i="1" s="1"/>
  <c r="N463" i="1"/>
  <c r="M463" i="1"/>
  <c r="L463" i="1"/>
  <c r="K463" i="1"/>
  <c r="J463" i="1"/>
  <c r="P457" i="1"/>
  <c r="Q457" i="1" s="1"/>
  <c r="O457" i="1" s="1"/>
  <c r="N457" i="1"/>
  <c r="M457" i="1"/>
  <c r="L457" i="1"/>
  <c r="K457" i="1"/>
  <c r="J457" i="1"/>
  <c r="P451" i="1"/>
  <c r="Q451" i="1" s="1"/>
  <c r="O451" i="1" s="1"/>
  <c r="N451" i="1"/>
  <c r="M451" i="1"/>
  <c r="L451" i="1"/>
  <c r="K451" i="1"/>
  <c r="J451" i="1"/>
  <c r="P445" i="1"/>
  <c r="Q445" i="1" s="1"/>
  <c r="O445" i="1" s="1"/>
  <c r="N445" i="1"/>
  <c r="M445" i="1"/>
  <c r="L445" i="1"/>
  <c r="K445" i="1"/>
  <c r="J445" i="1"/>
  <c r="P439" i="1"/>
  <c r="Q439" i="1" s="1"/>
  <c r="O439" i="1" s="1"/>
  <c r="N439" i="1"/>
  <c r="M439" i="1"/>
  <c r="L439" i="1"/>
  <c r="K439" i="1"/>
  <c r="J439" i="1"/>
  <c r="P433" i="1"/>
  <c r="Q433" i="1" s="1"/>
  <c r="O433" i="1" s="1"/>
  <c r="N433" i="1"/>
  <c r="M433" i="1"/>
  <c r="L433" i="1"/>
  <c r="K433" i="1"/>
  <c r="J433" i="1"/>
  <c r="P427" i="1"/>
  <c r="Q427" i="1" s="1"/>
  <c r="O427" i="1" s="1"/>
  <c r="N427" i="1"/>
  <c r="M427" i="1"/>
  <c r="L427" i="1"/>
  <c r="K427" i="1"/>
  <c r="J427" i="1"/>
  <c r="P421" i="1"/>
  <c r="Q421" i="1" s="1"/>
  <c r="O421" i="1" s="1"/>
  <c r="N421" i="1"/>
  <c r="M421" i="1"/>
  <c r="L421" i="1"/>
  <c r="K421" i="1"/>
  <c r="J421" i="1"/>
  <c r="P415" i="1"/>
  <c r="Q415" i="1" s="1"/>
  <c r="O415" i="1" s="1"/>
  <c r="N415" i="1"/>
  <c r="M415" i="1"/>
  <c r="L415" i="1"/>
  <c r="K415" i="1"/>
  <c r="J415" i="1"/>
  <c r="P409" i="1"/>
  <c r="Q409" i="1" s="1"/>
  <c r="O409" i="1" s="1"/>
  <c r="N409" i="1"/>
  <c r="M409" i="1"/>
  <c r="L409" i="1"/>
  <c r="K409" i="1"/>
  <c r="J409" i="1"/>
  <c r="P403" i="1"/>
  <c r="Q403" i="1" s="1"/>
  <c r="O403" i="1" s="1"/>
  <c r="N403" i="1"/>
  <c r="M403" i="1"/>
  <c r="L403" i="1"/>
  <c r="K403" i="1"/>
  <c r="J403" i="1"/>
  <c r="P397" i="1"/>
  <c r="Q397" i="1" s="1"/>
  <c r="O397" i="1" s="1"/>
  <c r="N397" i="1"/>
  <c r="M397" i="1"/>
  <c r="L397" i="1"/>
  <c r="K397" i="1"/>
  <c r="J397" i="1"/>
  <c r="P391" i="1"/>
  <c r="Q391" i="1" s="1"/>
  <c r="O391" i="1" s="1"/>
  <c r="N391" i="1"/>
  <c r="M391" i="1"/>
  <c r="L391" i="1"/>
  <c r="K391" i="1"/>
  <c r="J391" i="1"/>
  <c r="P385" i="1"/>
  <c r="Q385" i="1" s="1"/>
  <c r="O385" i="1" s="1"/>
  <c r="N385" i="1"/>
  <c r="M385" i="1"/>
  <c r="L385" i="1"/>
  <c r="K385" i="1"/>
  <c r="J385" i="1"/>
  <c r="P379" i="1"/>
  <c r="Q379" i="1" s="1"/>
  <c r="O379" i="1" s="1"/>
  <c r="N379" i="1"/>
  <c r="M379" i="1"/>
  <c r="L379" i="1"/>
  <c r="K379" i="1"/>
  <c r="J379" i="1"/>
  <c r="P373" i="1"/>
  <c r="Q373" i="1" s="1"/>
  <c r="O373" i="1" s="1"/>
  <c r="N373" i="1"/>
  <c r="M373" i="1"/>
  <c r="L373" i="1"/>
  <c r="K373" i="1"/>
  <c r="J373" i="1"/>
  <c r="P367" i="1"/>
  <c r="Q367" i="1" s="1"/>
  <c r="O367" i="1" s="1"/>
  <c r="N367" i="1"/>
  <c r="M367" i="1"/>
  <c r="L367" i="1"/>
  <c r="K367" i="1"/>
  <c r="J367" i="1"/>
  <c r="P361" i="1"/>
  <c r="Q361" i="1" s="1"/>
  <c r="O361" i="1" s="1"/>
  <c r="N361" i="1"/>
  <c r="M361" i="1"/>
  <c r="L361" i="1"/>
  <c r="K361" i="1"/>
  <c r="J361" i="1"/>
  <c r="P355" i="1"/>
  <c r="Q355" i="1" s="1"/>
  <c r="O355" i="1" s="1"/>
  <c r="N355" i="1"/>
  <c r="M355" i="1"/>
  <c r="L355" i="1"/>
  <c r="K355" i="1"/>
  <c r="J355" i="1"/>
  <c r="P349" i="1"/>
  <c r="Q349" i="1" s="1"/>
  <c r="O349" i="1" s="1"/>
  <c r="N349" i="1"/>
  <c r="M349" i="1"/>
  <c r="L349" i="1"/>
  <c r="K349" i="1"/>
  <c r="J349" i="1"/>
  <c r="P343" i="1"/>
  <c r="Q343" i="1" s="1"/>
  <c r="O343" i="1" s="1"/>
  <c r="N343" i="1"/>
  <c r="M343" i="1"/>
  <c r="L343" i="1"/>
  <c r="K343" i="1"/>
  <c r="J343" i="1"/>
  <c r="P337" i="1"/>
  <c r="Q337" i="1" s="1"/>
  <c r="O337" i="1" s="1"/>
  <c r="N337" i="1"/>
  <c r="M337" i="1"/>
  <c r="L337" i="1"/>
  <c r="K337" i="1"/>
  <c r="J337" i="1"/>
  <c r="P331" i="1"/>
  <c r="Q331" i="1" s="1"/>
  <c r="O331" i="1" s="1"/>
  <c r="N331" i="1"/>
  <c r="M331" i="1"/>
  <c r="L331" i="1"/>
  <c r="K331" i="1"/>
  <c r="J331" i="1"/>
  <c r="P325" i="1"/>
  <c r="Q325" i="1" s="1"/>
  <c r="O325" i="1" s="1"/>
  <c r="N325" i="1"/>
  <c r="M325" i="1"/>
  <c r="L325" i="1"/>
  <c r="K325" i="1"/>
  <c r="J325" i="1"/>
  <c r="P319" i="1"/>
  <c r="Q319" i="1" s="1"/>
  <c r="O319" i="1" s="1"/>
  <c r="N319" i="1"/>
  <c r="M319" i="1"/>
  <c r="L319" i="1"/>
  <c r="K319" i="1"/>
  <c r="J319" i="1"/>
  <c r="P313" i="1"/>
  <c r="Q313" i="1" s="1"/>
  <c r="O313" i="1" s="1"/>
  <c r="N313" i="1"/>
  <c r="M313" i="1"/>
  <c r="L313" i="1"/>
  <c r="K313" i="1"/>
  <c r="J313" i="1"/>
  <c r="P307" i="1"/>
  <c r="Q307" i="1" s="1"/>
  <c r="O307" i="1" s="1"/>
  <c r="N307" i="1"/>
  <c r="M307" i="1"/>
  <c r="L307" i="1"/>
  <c r="K307" i="1"/>
  <c r="J307" i="1"/>
  <c r="P301" i="1"/>
  <c r="Q301" i="1" s="1"/>
  <c r="O301" i="1" s="1"/>
  <c r="N301" i="1"/>
  <c r="M301" i="1"/>
  <c r="L301" i="1"/>
  <c r="K301" i="1"/>
  <c r="J301" i="1"/>
  <c r="P295" i="1"/>
  <c r="Q295" i="1" s="1"/>
  <c r="O295" i="1" s="1"/>
  <c r="N295" i="1"/>
  <c r="M295" i="1"/>
  <c r="L295" i="1"/>
  <c r="K295" i="1"/>
  <c r="J295" i="1"/>
  <c r="P289" i="1"/>
  <c r="Q289" i="1" s="1"/>
  <c r="O289" i="1" s="1"/>
  <c r="N289" i="1"/>
  <c r="M289" i="1"/>
  <c r="L289" i="1"/>
  <c r="K289" i="1"/>
  <c r="J289" i="1"/>
  <c r="P283" i="1"/>
  <c r="Q283" i="1" s="1"/>
  <c r="O283" i="1" s="1"/>
  <c r="N283" i="1"/>
  <c r="M283" i="1"/>
  <c r="L283" i="1"/>
  <c r="K283" i="1"/>
  <c r="J283" i="1"/>
  <c r="P277" i="1"/>
  <c r="Q277" i="1" s="1"/>
  <c r="O277" i="1" s="1"/>
  <c r="N277" i="1"/>
  <c r="M277" i="1"/>
  <c r="L277" i="1"/>
  <c r="K277" i="1"/>
  <c r="J277" i="1"/>
  <c r="P271" i="1"/>
  <c r="Q271" i="1" s="1"/>
  <c r="O271" i="1" s="1"/>
  <c r="N271" i="1"/>
  <c r="M271" i="1"/>
  <c r="L271" i="1"/>
  <c r="K271" i="1"/>
  <c r="J271" i="1"/>
  <c r="P265" i="1"/>
  <c r="Q265" i="1" s="1"/>
  <c r="O265" i="1" s="1"/>
  <c r="N265" i="1"/>
  <c r="M265" i="1"/>
  <c r="L265" i="1"/>
  <c r="K265" i="1"/>
  <c r="J265" i="1"/>
  <c r="P259" i="1"/>
  <c r="Q259" i="1" s="1"/>
  <c r="O259" i="1" s="1"/>
  <c r="N259" i="1"/>
  <c r="M259" i="1"/>
  <c r="L259" i="1"/>
  <c r="K259" i="1"/>
  <c r="J259" i="1"/>
  <c r="P253" i="1"/>
  <c r="Q253" i="1" s="1"/>
  <c r="O253" i="1" s="1"/>
  <c r="N253" i="1"/>
  <c r="M253" i="1"/>
  <c r="L253" i="1"/>
  <c r="K253" i="1"/>
  <c r="J253" i="1"/>
  <c r="P247" i="1"/>
  <c r="Q247" i="1" s="1"/>
  <c r="O247" i="1" s="1"/>
  <c r="N247" i="1"/>
  <c r="M247" i="1"/>
  <c r="L247" i="1"/>
  <c r="K247" i="1"/>
  <c r="J247" i="1"/>
  <c r="P241" i="1"/>
  <c r="Q241" i="1" s="1"/>
  <c r="O241" i="1" s="1"/>
  <c r="N241" i="1"/>
  <c r="M241" i="1"/>
  <c r="L241" i="1"/>
  <c r="K241" i="1"/>
  <c r="J241" i="1"/>
  <c r="P235" i="1"/>
  <c r="Q235" i="1" s="1"/>
  <c r="O235" i="1" s="1"/>
  <c r="N235" i="1"/>
  <c r="M235" i="1"/>
  <c r="L235" i="1"/>
  <c r="K235" i="1"/>
  <c r="J235" i="1"/>
  <c r="P229" i="1"/>
  <c r="Q229" i="1" s="1"/>
  <c r="O229" i="1" s="1"/>
  <c r="N229" i="1"/>
  <c r="M229" i="1"/>
  <c r="L229" i="1"/>
  <c r="K229" i="1"/>
  <c r="J229" i="1"/>
  <c r="P223" i="1"/>
  <c r="Q223" i="1" s="1"/>
  <c r="O223" i="1" s="1"/>
  <c r="N223" i="1"/>
  <c r="M223" i="1"/>
  <c r="L223" i="1"/>
  <c r="K223" i="1"/>
  <c r="J223" i="1"/>
  <c r="P217" i="1"/>
  <c r="Q217" i="1" s="1"/>
  <c r="O217" i="1" s="1"/>
  <c r="N217" i="1"/>
  <c r="M217" i="1"/>
  <c r="L217" i="1"/>
  <c r="K217" i="1"/>
  <c r="J217" i="1"/>
  <c r="P211" i="1"/>
  <c r="Q211" i="1" s="1"/>
  <c r="O211" i="1" s="1"/>
  <c r="N211" i="1"/>
  <c r="M211" i="1"/>
  <c r="L211" i="1"/>
  <c r="K211" i="1"/>
  <c r="J211" i="1"/>
  <c r="P205" i="1"/>
  <c r="Q205" i="1" s="1"/>
  <c r="O205" i="1" s="1"/>
  <c r="N205" i="1"/>
  <c r="M205" i="1"/>
  <c r="L205" i="1"/>
  <c r="K205" i="1"/>
  <c r="J205" i="1"/>
  <c r="P199" i="1"/>
  <c r="Q199" i="1" s="1"/>
  <c r="O199" i="1" s="1"/>
  <c r="N199" i="1"/>
  <c r="M199" i="1"/>
  <c r="L199" i="1"/>
  <c r="K199" i="1"/>
  <c r="J199" i="1"/>
  <c r="P193" i="1"/>
  <c r="Q193" i="1" s="1"/>
  <c r="O193" i="1" s="1"/>
  <c r="N193" i="1"/>
  <c r="M193" i="1"/>
  <c r="L193" i="1"/>
  <c r="K193" i="1"/>
  <c r="J193" i="1"/>
  <c r="P187" i="1"/>
  <c r="Q187" i="1" s="1"/>
  <c r="O187" i="1" s="1"/>
  <c r="N187" i="1"/>
  <c r="M187" i="1"/>
  <c r="L187" i="1"/>
  <c r="K187" i="1"/>
  <c r="J187" i="1"/>
  <c r="P181" i="1"/>
  <c r="Q181" i="1" s="1"/>
  <c r="O181" i="1" s="1"/>
  <c r="N181" i="1"/>
  <c r="M181" i="1"/>
  <c r="L181" i="1"/>
  <c r="K181" i="1"/>
  <c r="J181" i="1"/>
  <c r="P175" i="1"/>
  <c r="Q175" i="1" s="1"/>
  <c r="O175" i="1" s="1"/>
  <c r="N175" i="1"/>
  <c r="M175" i="1"/>
  <c r="L175" i="1"/>
  <c r="K175" i="1"/>
  <c r="J175" i="1"/>
  <c r="P169" i="1"/>
  <c r="Q169" i="1" s="1"/>
  <c r="O169" i="1" s="1"/>
  <c r="N169" i="1"/>
  <c r="M169" i="1"/>
  <c r="L169" i="1"/>
  <c r="K169" i="1"/>
  <c r="J169" i="1"/>
  <c r="P163" i="1"/>
  <c r="Q163" i="1" s="1"/>
  <c r="O163" i="1" s="1"/>
  <c r="N163" i="1"/>
  <c r="M163" i="1"/>
  <c r="L163" i="1"/>
  <c r="K163" i="1"/>
  <c r="J163" i="1"/>
  <c r="P157" i="1"/>
  <c r="Q157" i="1" s="1"/>
  <c r="O157" i="1" s="1"/>
  <c r="S9" i="1" s="1"/>
  <c r="N157" i="1"/>
  <c r="M157" i="1"/>
  <c r="L157" i="1"/>
  <c r="K157" i="1"/>
  <c r="J157" i="1"/>
  <c r="P151" i="1"/>
  <c r="Q151" i="1" s="1"/>
  <c r="O151" i="1" s="1"/>
  <c r="N151" i="1"/>
  <c r="M151" i="1"/>
  <c r="L151" i="1"/>
  <c r="K151" i="1"/>
  <c r="J151" i="1"/>
  <c r="P145" i="1"/>
  <c r="Q145" i="1" s="1"/>
  <c r="O145" i="1" s="1"/>
  <c r="N145" i="1"/>
  <c r="M145" i="1"/>
  <c r="L145" i="1"/>
  <c r="K145" i="1"/>
  <c r="J145" i="1"/>
  <c r="P139" i="1"/>
  <c r="Q139" i="1" s="1"/>
  <c r="O139" i="1" s="1"/>
  <c r="N139" i="1"/>
  <c r="M139" i="1"/>
  <c r="L139" i="1"/>
  <c r="K139" i="1"/>
  <c r="J139" i="1"/>
  <c r="P133" i="1"/>
  <c r="Q133" i="1" s="1"/>
  <c r="O133" i="1" s="1"/>
  <c r="N133" i="1"/>
  <c r="M133" i="1"/>
  <c r="L133" i="1"/>
  <c r="K133" i="1"/>
  <c r="J133" i="1"/>
  <c r="P127" i="1"/>
  <c r="Q127" i="1" s="1"/>
  <c r="O127" i="1" s="1"/>
  <c r="N127" i="1"/>
  <c r="M127" i="1"/>
  <c r="L127" i="1"/>
  <c r="K127" i="1"/>
  <c r="J127" i="1"/>
  <c r="P121" i="1"/>
  <c r="Q121" i="1" s="1"/>
  <c r="O121" i="1" s="1"/>
  <c r="N121" i="1"/>
  <c r="M121" i="1"/>
  <c r="L121" i="1"/>
  <c r="K121" i="1"/>
  <c r="J121" i="1"/>
  <c r="P115" i="1"/>
  <c r="Q115" i="1" s="1"/>
  <c r="O115" i="1" s="1"/>
  <c r="R13" i="1" s="1"/>
  <c r="N115" i="1"/>
  <c r="M115" i="1"/>
  <c r="L115" i="1"/>
  <c r="K115" i="1"/>
  <c r="J115" i="1"/>
  <c r="P109" i="1"/>
  <c r="Q109" i="1" s="1"/>
  <c r="O109" i="1" s="1"/>
  <c r="N109" i="1"/>
  <c r="M109" i="1"/>
  <c r="L109" i="1"/>
  <c r="K109" i="1"/>
  <c r="J109" i="1"/>
  <c r="P103" i="1"/>
  <c r="Q103" i="1" s="1"/>
  <c r="O103" i="1" s="1"/>
  <c r="N103" i="1"/>
  <c r="M103" i="1"/>
  <c r="L103" i="1"/>
  <c r="K103" i="1"/>
  <c r="J103" i="1"/>
  <c r="P97" i="1"/>
  <c r="Q97" i="1" s="1"/>
  <c r="O97" i="1" s="1"/>
  <c r="N97" i="1"/>
  <c r="M97" i="1"/>
  <c r="L97" i="1"/>
  <c r="K97" i="1"/>
  <c r="J97" i="1"/>
  <c r="P91" i="1"/>
  <c r="Q91" i="1" s="1"/>
  <c r="O91" i="1" s="1"/>
  <c r="N91" i="1"/>
  <c r="M91" i="1"/>
  <c r="L91" i="1"/>
  <c r="K91" i="1"/>
  <c r="J91" i="1"/>
  <c r="P85" i="1"/>
  <c r="Q85" i="1" s="1"/>
  <c r="O85" i="1" s="1"/>
  <c r="S8" i="1" s="1"/>
  <c r="N85" i="1"/>
  <c r="M85" i="1"/>
  <c r="L85" i="1"/>
  <c r="K85" i="1"/>
  <c r="J85" i="1"/>
  <c r="P79" i="1"/>
  <c r="Q79" i="1" s="1"/>
  <c r="O79" i="1" s="1"/>
  <c r="N79" i="1"/>
  <c r="M79" i="1"/>
  <c r="L79" i="1"/>
  <c r="K79" i="1"/>
  <c r="J79" i="1"/>
  <c r="P73" i="1"/>
  <c r="Q73" i="1" s="1"/>
  <c r="O73" i="1" s="1"/>
  <c r="N73" i="1"/>
  <c r="M73" i="1"/>
  <c r="L73" i="1"/>
  <c r="K73" i="1"/>
  <c r="J73" i="1"/>
  <c r="P67" i="1"/>
  <c r="Q67" i="1" s="1"/>
  <c r="O67" i="1" s="1"/>
  <c r="N67" i="1"/>
  <c r="M67" i="1"/>
  <c r="L67" i="1"/>
  <c r="K67" i="1"/>
  <c r="J67" i="1"/>
  <c r="P61" i="1"/>
  <c r="Q61" i="1" s="1"/>
  <c r="O61" i="1" s="1"/>
  <c r="R5" i="1" s="1"/>
  <c r="N61" i="1"/>
  <c r="M61" i="1"/>
  <c r="L61" i="1"/>
  <c r="K61" i="1"/>
  <c r="J61" i="1"/>
  <c r="P55" i="1"/>
  <c r="Q55" i="1" s="1"/>
  <c r="O55" i="1" s="1"/>
  <c r="S14" i="1" s="1"/>
  <c r="N55" i="1"/>
  <c r="M55" i="1"/>
  <c r="L55" i="1"/>
  <c r="K55" i="1"/>
  <c r="J55" i="1"/>
  <c r="P49" i="1"/>
  <c r="Q49" i="1" s="1"/>
  <c r="O49" i="1" s="1"/>
  <c r="N49" i="1"/>
  <c r="M49" i="1"/>
  <c r="L49" i="1"/>
  <c r="K49" i="1"/>
  <c r="J49" i="1"/>
  <c r="P43" i="1"/>
  <c r="Q43" i="1" s="1"/>
  <c r="O43" i="1" s="1"/>
  <c r="N43" i="1"/>
  <c r="M43" i="1"/>
  <c r="L43" i="1"/>
  <c r="K43" i="1"/>
  <c r="J43" i="1"/>
  <c r="P37" i="1"/>
  <c r="Q37" i="1" s="1"/>
  <c r="O37" i="1" s="1"/>
  <c r="R10" i="1" s="1"/>
  <c r="N37" i="1"/>
  <c r="M37" i="1"/>
  <c r="L37" i="1"/>
  <c r="K37" i="1"/>
  <c r="J37" i="1"/>
  <c r="P31" i="1"/>
  <c r="Q31" i="1" s="1"/>
  <c r="O31" i="1" s="1"/>
  <c r="N31" i="1"/>
  <c r="M31" i="1"/>
  <c r="L31" i="1"/>
  <c r="K31" i="1"/>
  <c r="J31" i="1"/>
  <c r="N7" i="1"/>
  <c r="E7" i="1"/>
  <c r="T31" i="2" l="1"/>
  <c r="S31" i="2"/>
  <c r="R31" i="2"/>
  <c r="Q31" i="2"/>
  <c r="P31" i="2"/>
  <c r="AE31" i="2"/>
  <c r="O31" i="2"/>
  <c r="AD31" i="2"/>
  <c r="N31" i="2"/>
  <c r="M64" i="2"/>
  <c r="AC31" i="2"/>
  <c r="M31" i="2"/>
  <c r="AB31" i="2"/>
  <c r="L31" i="2"/>
  <c r="AA31" i="2"/>
  <c r="K31" i="2"/>
  <c r="Z31" i="2"/>
  <c r="J31" i="2"/>
  <c r="Y31" i="2"/>
  <c r="I31" i="2"/>
  <c r="X31" i="2"/>
  <c r="H31" i="2"/>
  <c r="W31" i="2"/>
  <c r="G31" i="2"/>
  <c r="V31" i="2"/>
  <c r="F31" i="2"/>
  <c r="U31" i="2"/>
  <c r="E31" i="2"/>
  <c r="D19" i="2"/>
  <c r="D25" i="2"/>
  <c r="D30" i="2"/>
  <c r="D24" i="2"/>
  <c r="D29" i="2"/>
  <c r="D18" i="2"/>
  <c r="D17" i="2"/>
  <c r="D22" i="2"/>
  <c r="D28" i="2"/>
  <c r="D33" i="2"/>
  <c r="D21" i="2"/>
  <c r="D27" i="2"/>
  <c r="D32" i="2"/>
  <c r="D20" i="2"/>
  <c r="D26" i="2"/>
  <c r="R11" i="1"/>
  <c r="R6" i="1"/>
  <c r="S15" i="1"/>
  <c r="S13" i="1"/>
  <c r="U13" i="1" s="1"/>
  <c r="S7" i="1"/>
  <c r="R9" i="1"/>
  <c r="U9" i="1" s="1"/>
  <c r="S10" i="1"/>
  <c r="U10" i="1" s="1"/>
  <c r="R14" i="1"/>
  <c r="U14" i="1" s="1"/>
  <c r="R12" i="1"/>
  <c r="R7" i="1"/>
  <c r="U7" i="1" s="1"/>
  <c r="S6" i="1"/>
  <c r="R15" i="1"/>
  <c r="U15" i="1" s="1"/>
  <c r="S12" i="1"/>
  <c r="R8" i="1"/>
  <c r="U8" i="1" s="1"/>
  <c r="V9" i="1" s="1"/>
  <c r="S11" i="1"/>
  <c r="Q30" i="2" l="1"/>
  <c r="P30" i="2"/>
  <c r="AE30" i="2"/>
  <c r="O30" i="2"/>
  <c r="AD30" i="2"/>
  <c r="N30" i="2"/>
  <c r="AC30" i="2"/>
  <c r="M30" i="2"/>
  <c r="AB30" i="2"/>
  <c r="L30" i="2"/>
  <c r="AA30" i="2"/>
  <c r="K30" i="2"/>
  <c r="Z30" i="2"/>
  <c r="J30" i="2"/>
  <c r="Y30" i="2"/>
  <c r="I30" i="2"/>
  <c r="X30" i="2"/>
  <c r="H30" i="2"/>
  <c r="W30" i="2"/>
  <c r="G30" i="2"/>
  <c r="V30" i="2"/>
  <c r="F30" i="2"/>
  <c r="U30" i="2"/>
  <c r="E30" i="2"/>
  <c r="M63" i="2"/>
  <c r="T30" i="2"/>
  <c r="S30" i="2"/>
  <c r="R30" i="2"/>
  <c r="Z64" i="2"/>
  <c r="W64" i="2"/>
  <c r="T64" i="2"/>
  <c r="Q64" i="2"/>
  <c r="N64" i="2"/>
  <c r="W32" i="2"/>
  <c r="G32" i="2"/>
  <c r="V32" i="2"/>
  <c r="F32" i="2"/>
  <c r="U32" i="2"/>
  <c r="E32" i="2"/>
  <c r="T32" i="2"/>
  <c r="S32" i="2"/>
  <c r="R32" i="2"/>
  <c r="Q32" i="2"/>
  <c r="P32" i="2"/>
  <c r="AE32" i="2"/>
  <c r="O32" i="2"/>
  <c r="AD32" i="2"/>
  <c r="N32" i="2"/>
  <c r="AC32" i="2"/>
  <c r="M32" i="2"/>
  <c r="M66" i="2"/>
  <c r="AB32" i="2"/>
  <c r="L32" i="2"/>
  <c r="AA32" i="2"/>
  <c r="K32" i="2"/>
  <c r="Z32" i="2"/>
  <c r="J32" i="2"/>
  <c r="Y32" i="2"/>
  <c r="I32" i="2"/>
  <c r="X32" i="2"/>
  <c r="H32" i="2"/>
  <c r="AE24" i="2"/>
  <c r="O24" i="2"/>
  <c r="AD24" i="2"/>
  <c r="N24" i="2"/>
  <c r="AC24" i="2"/>
  <c r="M24" i="2"/>
  <c r="M54" i="2"/>
  <c r="AB24" i="2"/>
  <c r="L24" i="2"/>
  <c r="AA24" i="2"/>
  <c r="K24" i="2"/>
  <c r="Z24" i="2"/>
  <c r="J24" i="2"/>
  <c r="Y24" i="2"/>
  <c r="I24" i="2"/>
  <c r="H24" i="2"/>
  <c r="X24" i="2"/>
  <c r="W24" i="2"/>
  <c r="G24" i="2"/>
  <c r="V24" i="2"/>
  <c r="F24" i="2"/>
  <c r="U24" i="2"/>
  <c r="E24" i="2"/>
  <c r="T24" i="2"/>
  <c r="S24" i="2"/>
  <c r="R24" i="2"/>
  <c r="Q24" i="2"/>
  <c r="P24" i="2"/>
  <c r="R25" i="2"/>
  <c r="Q25" i="2"/>
  <c r="P25" i="2"/>
  <c r="AE25" i="2"/>
  <c r="O25" i="2"/>
  <c r="AD25" i="2"/>
  <c r="N25" i="2"/>
  <c r="AC25" i="2"/>
  <c r="M25" i="2"/>
  <c r="AB25" i="2"/>
  <c r="L25" i="2"/>
  <c r="AA25" i="2"/>
  <c r="K25" i="2"/>
  <c r="Z25" i="2"/>
  <c r="J25" i="2"/>
  <c r="Y25" i="2"/>
  <c r="I25" i="2"/>
  <c r="X25" i="2"/>
  <c r="H25" i="2"/>
  <c r="W25" i="2"/>
  <c r="G25" i="2"/>
  <c r="V25" i="2"/>
  <c r="F25" i="2"/>
  <c r="M55" i="2"/>
  <c r="U25" i="2"/>
  <c r="E25" i="2"/>
  <c r="T25" i="2"/>
  <c r="S25" i="2"/>
  <c r="S19" i="2"/>
  <c r="R19" i="2"/>
  <c r="Q19" i="2"/>
  <c r="P19" i="2"/>
  <c r="AE19" i="2"/>
  <c r="O19" i="2"/>
  <c r="M59" i="2"/>
  <c r="AD19" i="2"/>
  <c r="N19" i="2"/>
  <c r="AC19" i="2"/>
  <c r="M19" i="2"/>
  <c r="AB19" i="2"/>
  <c r="L19" i="2"/>
  <c r="W19" i="2"/>
  <c r="AA19" i="2"/>
  <c r="K19" i="2"/>
  <c r="G19" i="2"/>
  <c r="Z19" i="2"/>
  <c r="J19" i="2"/>
  <c r="Y19" i="2"/>
  <c r="I19" i="2"/>
  <c r="X19" i="2"/>
  <c r="H19" i="2"/>
  <c r="V19" i="2"/>
  <c r="F19" i="2"/>
  <c r="U19" i="2"/>
  <c r="E19" i="2"/>
  <c r="T19" i="2"/>
  <c r="U26" i="2"/>
  <c r="E26" i="2"/>
  <c r="M57" i="2"/>
  <c r="T26" i="2"/>
  <c r="S26" i="2"/>
  <c r="R26" i="2"/>
  <c r="Q26" i="2"/>
  <c r="P26" i="2"/>
  <c r="AE26" i="2"/>
  <c r="O26" i="2"/>
  <c r="AD26" i="2"/>
  <c r="N26" i="2"/>
  <c r="AC26" i="2"/>
  <c r="M26" i="2"/>
  <c r="AB26" i="2"/>
  <c r="L26" i="2"/>
  <c r="AA26" i="2"/>
  <c r="K26" i="2"/>
  <c r="Z26" i="2"/>
  <c r="J26" i="2"/>
  <c r="Y26" i="2"/>
  <c r="I26" i="2"/>
  <c r="X26" i="2"/>
  <c r="H26" i="2"/>
  <c r="W26" i="2"/>
  <c r="G26" i="2"/>
  <c r="V26" i="2"/>
  <c r="F26" i="2"/>
  <c r="V20" i="2"/>
  <c r="F20" i="2"/>
  <c r="U20" i="2"/>
  <c r="E20" i="2"/>
  <c r="T20" i="2"/>
  <c r="M62" i="2"/>
  <c r="S20" i="2"/>
  <c r="R20" i="2"/>
  <c r="Q20" i="2"/>
  <c r="P20" i="2"/>
  <c r="AE20" i="2"/>
  <c r="O20" i="2"/>
  <c r="AD20" i="2"/>
  <c r="N20" i="2"/>
  <c r="J20" i="2"/>
  <c r="AC20" i="2"/>
  <c r="M20" i="2"/>
  <c r="AB20" i="2"/>
  <c r="L20" i="2"/>
  <c r="AA20" i="2"/>
  <c r="K20" i="2"/>
  <c r="Z20" i="2"/>
  <c r="Y20" i="2"/>
  <c r="I20" i="2"/>
  <c r="X20" i="2"/>
  <c r="H20" i="2"/>
  <c r="W20" i="2"/>
  <c r="G20" i="2"/>
  <c r="X27" i="2"/>
  <c r="H27" i="2"/>
  <c r="W27" i="2"/>
  <c r="G27" i="2"/>
  <c r="V27" i="2"/>
  <c r="F27" i="2"/>
  <c r="U27" i="2"/>
  <c r="E27" i="2"/>
  <c r="T27" i="2"/>
  <c r="S27" i="2"/>
  <c r="R27" i="2"/>
  <c r="Q27" i="2"/>
  <c r="P27" i="2"/>
  <c r="AE27" i="2"/>
  <c r="O27" i="2"/>
  <c r="AD27" i="2"/>
  <c r="N27" i="2"/>
  <c r="M58" i="2"/>
  <c r="AC27" i="2"/>
  <c r="M27" i="2"/>
  <c r="AB27" i="2"/>
  <c r="L27" i="2"/>
  <c r="AA27" i="2"/>
  <c r="K27" i="2"/>
  <c r="Z27" i="2"/>
  <c r="J27" i="2"/>
  <c r="Y27" i="2"/>
  <c r="I27" i="2"/>
  <c r="Y21" i="2"/>
  <c r="I21" i="2"/>
  <c r="M65" i="2"/>
  <c r="X21" i="2"/>
  <c r="H21" i="2"/>
  <c r="W21" i="2"/>
  <c r="G21" i="2"/>
  <c r="V21" i="2"/>
  <c r="F21" i="2"/>
  <c r="U21" i="2"/>
  <c r="E21" i="2"/>
  <c r="T21" i="2"/>
  <c r="S21" i="2"/>
  <c r="M21" i="2"/>
  <c r="R21" i="2"/>
  <c r="Q21" i="2"/>
  <c r="AC21" i="2"/>
  <c r="P21" i="2"/>
  <c r="AE21" i="2"/>
  <c r="O21" i="2"/>
  <c r="AD21" i="2"/>
  <c r="N21" i="2"/>
  <c r="AB21" i="2"/>
  <c r="L21" i="2"/>
  <c r="AA21" i="2"/>
  <c r="K21" i="2"/>
  <c r="Z21" i="2"/>
  <c r="J21" i="2"/>
  <c r="AA28" i="2"/>
  <c r="K28" i="2"/>
  <c r="Z28" i="2"/>
  <c r="J28" i="2"/>
  <c r="Y28" i="2"/>
  <c r="I28" i="2"/>
  <c r="X28" i="2"/>
  <c r="H28" i="2"/>
  <c r="W28" i="2"/>
  <c r="G28" i="2"/>
  <c r="V28" i="2"/>
  <c r="F28" i="2"/>
  <c r="U28" i="2"/>
  <c r="E28" i="2"/>
  <c r="T28" i="2"/>
  <c r="S28" i="2"/>
  <c r="R28" i="2"/>
  <c r="Q28" i="2"/>
  <c r="P28" i="2"/>
  <c r="AE28" i="2"/>
  <c r="O28" i="2"/>
  <c r="AD28" i="2"/>
  <c r="N28" i="2"/>
  <c r="AC28" i="2"/>
  <c r="M28" i="2"/>
  <c r="M60" i="2"/>
  <c r="AB28" i="2"/>
  <c r="L28" i="2"/>
  <c r="Z33" i="2"/>
  <c r="J33" i="2"/>
  <c r="Y33" i="2"/>
  <c r="I33" i="2"/>
  <c r="X33" i="2"/>
  <c r="H33" i="2"/>
  <c r="W33" i="2"/>
  <c r="G33" i="2"/>
  <c r="V33" i="2"/>
  <c r="F33" i="2"/>
  <c r="M67" i="2"/>
  <c r="U33" i="2"/>
  <c r="E33" i="2"/>
  <c r="T33" i="2"/>
  <c r="S33" i="2"/>
  <c r="R33" i="2"/>
  <c r="Q33" i="2"/>
  <c r="P33" i="2"/>
  <c r="AE33" i="2"/>
  <c r="O33" i="2"/>
  <c r="AD33" i="2"/>
  <c r="N33" i="2"/>
  <c r="AC33" i="2"/>
  <c r="M33" i="2"/>
  <c r="AB33" i="2"/>
  <c r="L33" i="2"/>
  <c r="AA33" i="2"/>
  <c r="K33" i="2"/>
  <c r="AB22" i="2"/>
  <c r="L22" i="2"/>
  <c r="AA22" i="2"/>
  <c r="K22" i="2"/>
  <c r="Z22" i="2"/>
  <c r="J22" i="2"/>
  <c r="Y22" i="2"/>
  <c r="I22" i="2"/>
  <c r="X22" i="2"/>
  <c r="H22" i="2"/>
  <c r="W22" i="2"/>
  <c r="G22" i="2"/>
  <c r="V22" i="2"/>
  <c r="F22" i="2"/>
  <c r="U22" i="2"/>
  <c r="E22" i="2"/>
  <c r="T22" i="2"/>
  <c r="S22" i="2"/>
  <c r="P22" i="2"/>
  <c r="C49" i="2"/>
  <c r="R22" i="2"/>
  <c r="Q22" i="2"/>
  <c r="AE22" i="2"/>
  <c r="O22" i="2"/>
  <c r="AD22" i="2"/>
  <c r="N22" i="2"/>
  <c r="AC22" i="2"/>
  <c r="M22" i="2"/>
  <c r="AC17" i="2"/>
  <c r="M17" i="2"/>
  <c r="AB17" i="2"/>
  <c r="L17" i="2"/>
  <c r="AA17" i="2"/>
  <c r="K17" i="2"/>
  <c r="Z17" i="2"/>
  <c r="J17" i="2"/>
  <c r="Y17" i="2"/>
  <c r="I17" i="2"/>
  <c r="X17" i="2"/>
  <c r="H17" i="2"/>
  <c r="W17" i="2"/>
  <c r="G17" i="2"/>
  <c r="V17" i="2"/>
  <c r="F17" i="2"/>
  <c r="U17" i="2"/>
  <c r="E17" i="2"/>
  <c r="Q17" i="2"/>
  <c r="M53" i="2"/>
  <c r="T17" i="2"/>
  <c r="P17" i="2"/>
  <c r="S17" i="2"/>
  <c r="R17" i="2"/>
  <c r="AE17" i="2"/>
  <c r="O17" i="2"/>
  <c r="AD17" i="2"/>
  <c r="N17" i="2"/>
  <c r="P18" i="2"/>
  <c r="AE18" i="2"/>
  <c r="O18" i="2"/>
  <c r="AD18" i="2"/>
  <c r="N18" i="2"/>
  <c r="AC18" i="2"/>
  <c r="M18" i="2"/>
  <c r="AB18" i="2"/>
  <c r="L18" i="2"/>
  <c r="AA18" i="2"/>
  <c r="K18" i="2"/>
  <c r="Z18" i="2"/>
  <c r="J18" i="2"/>
  <c r="M56" i="2"/>
  <c r="Y18" i="2"/>
  <c r="I18" i="2"/>
  <c r="X18" i="2"/>
  <c r="H18" i="2"/>
  <c r="T18" i="2"/>
  <c r="W18" i="2"/>
  <c r="G18" i="2"/>
  <c r="V18" i="2"/>
  <c r="F18" i="2"/>
  <c r="U18" i="2"/>
  <c r="E18" i="2"/>
  <c r="S18" i="2"/>
  <c r="R18" i="2"/>
  <c r="Q18" i="2"/>
  <c r="AD29" i="2"/>
  <c r="N29" i="2"/>
  <c r="AC29" i="2"/>
  <c r="M29" i="2"/>
  <c r="AB29" i="2"/>
  <c r="L29" i="2"/>
  <c r="AA29" i="2"/>
  <c r="K29" i="2"/>
  <c r="Z29" i="2"/>
  <c r="J29" i="2"/>
  <c r="Y29" i="2"/>
  <c r="I29" i="2"/>
  <c r="X29" i="2"/>
  <c r="H29" i="2"/>
  <c r="W29" i="2"/>
  <c r="G29" i="2"/>
  <c r="V29" i="2"/>
  <c r="F29" i="2"/>
  <c r="M61" i="2"/>
  <c r="U29" i="2"/>
  <c r="E29" i="2"/>
  <c r="T29" i="2"/>
  <c r="S29" i="2"/>
  <c r="R29" i="2"/>
  <c r="Q29" i="2"/>
  <c r="P29" i="2"/>
  <c r="AE29" i="2"/>
  <c r="O29" i="2"/>
  <c r="V15" i="1"/>
  <c r="U12" i="1"/>
  <c r="V13" i="1" s="1"/>
  <c r="U6" i="1"/>
  <c r="V7" i="1" s="1"/>
  <c r="U11" i="1"/>
  <c r="V11" i="1" s="1"/>
  <c r="Z56" i="2" l="1"/>
  <c r="W56" i="2"/>
  <c r="T56" i="2"/>
  <c r="Q56" i="2"/>
  <c r="N56" i="2"/>
  <c r="Z61" i="2"/>
  <c r="W61" i="2"/>
  <c r="T61" i="2"/>
  <c r="Q61" i="2"/>
  <c r="N61" i="2"/>
  <c r="Z59" i="2"/>
  <c r="W59" i="2"/>
  <c r="T59" i="2"/>
  <c r="Q59" i="2"/>
  <c r="N59" i="2"/>
  <c r="Z60" i="2"/>
  <c r="W60" i="2"/>
  <c r="T60" i="2"/>
  <c r="Q60" i="2"/>
  <c r="N60" i="2"/>
  <c r="Z58" i="2"/>
  <c r="W58" i="2"/>
  <c r="T58" i="2"/>
  <c r="Q58" i="2"/>
  <c r="N58" i="2"/>
  <c r="Z53" i="2"/>
  <c r="W53" i="2"/>
  <c r="T53" i="2"/>
  <c r="Q53" i="2"/>
  <c r="N53" i="2"/>
  <c r="Z63" i="2"/>
  <c r="W63" i="2"/>
  <c r="T63" i="2"/>
  <c r="Q63" i="2"/>
  <c r="N63" i="2"/>
  <c r="Z67" i="2"/>
  <c r="W67" i="2"/>
  <c r="T67" i="2"/>
  <c r="Q67" i="2"/>
  <c r="N67" i="2"/>
  <c r="N65" i="2"/>
  <c r="Z65" i="2"/>
  <c r="W65" i="2"/>
  <c r="T65" i="2"/>
  <c r="Q65" i="2"/>
  <c r="N57" i="2"/>
  <c r="Z57" i="2"/>
  <c r="W57" i="2"/>
  <c r="T57" i="2"/>
  <c r="Q57" i="2"/>
  <c r="T54" i="2"/>
  <c r="Q54" i="2"/>
  <c r="N54" i="2"/>
  <c r="Z54" i="2"/>
  <c r="W54" i="2"/>
  <c r="Z66" i="2"/>
  <c r="W66" i="2"/>
  <c r="T66" i="2"/>
  <c r="Q66" i="2"/>
  <c r="N66" i="2"/>
  <c r="T62" i="2"/>
  <c r="Q62" i="2"/>
  <c r="N62" i="2"/>
  <c r="Z62" i="2"/>
  <c r="W62" i="2"/>
  <c r="Z55" i="2"/>
  <c r="W55" i="2"/>
  <c r="T55" i="2"/>
  <c r="Q55" i="2"/>
  <c r="N55" i="2"/>
</calcChain>
</file>

<file path=xl/sharedStrings.xml><?xml version="1.0" encoding="utf-8"?>
<sst xmlns="http://schemas.openxmlformats.org/spreadsheetml/2006/main" count="1146" uniqueCount="382">
  <si>
    <t>Cuestionario Big Five</t>
  </si>
  <si>
    <t>B.F.Q</t>
  </si>
  <si>
    <t>-</t>
  </si>
  <si>
    <t xml:space="preserve"> +</t>
  </si>
  <si>
    <t>Nombre</t>
  </si>
  <si>
    <t>genero</t>
  </si>
  <si>
    <t>D</t>
  </si>
  <si>
    <t>Ocupación</t>
  </si>
  <si>
    <t>Seleccione</t>
  </si>
  <si>
    <t>DI</t>
  </si>
  <si>
    <t>Fecha</t>
  </si>
  <si>
    <t>Municipio</t>
  </si>
  <si>
    <t>Masculino</t>
  </si>
  <si>
    <t>DO</t>
  </si>
  <si>
    <t>E</t>
  </si>
  <si>
    <t>Genero</t>
  </si>
  <si>
    <t>Edad</t>
  </si>
  <si>
    <t>Femenino</t>
  </si>
  <si>
    <t>CP</t>
  </si>
  <si>
    <t>CO</t>
  </si>
  <si>
    <t>A</t>
  </si>
  <si>
    <t>A continuación encontrará un serie de frases sobre formas de pensar, sentir o actuar, para que las vaya leyendo atentamente y marque la respuesta que describa mejor cuál es su forma habitual de pensar, sentir o actuar.</t>
  </si>
  <si>
    <t>ES</t>
  </si>
  <si>
    <t>PE</t>
  </si>
  <si>
    <t>T</t>
  </si>
  <si>
    <t>Para constestar marque con una "X" el espacio de uno de los números  (5 a 1) que encontrará debajo de cada afirmación.</t>
  </si>
  <si>
    <t>CE</t>
  </si>
  <si>
    <t>CI</t>
  </si>
  <si>
    <t>EE</t>
  </si>
  <si>
    <t>Las alternativas de respuesta son:</t>
  </si>
  <si>
    <t>AC</t>
  </si>
  <si>
    <t>AE</t>
  </si>
  <si>
    <t>AM</t>
  </si>
  <si>
    <t>5    Completamente verdadero para mi</t>
  </si>
  <si>
    <t>4    Bastante verdadero para mi</t>
  </si>
  <si>
    <t>3    Ni verdadero ni falso para mi</t>
  </si>
  <si>
    <t>2    Bastante falso para mi</t>
  </si>
  <si>
    <t>1    Completamente falso para mi</t>
  </si>
  <si>
    <t>No existen respuestas buenas o malas, correctas o incorrectas, lo que interesa es su opinión. Trate de ser SINCERO CONSIGO MISMO. Sus respuestas serán tratadas confidencialmente.</t>
  </si>
  <si>
    <t>PREGUNTAS</t>
  </si>
  <si>
    <t>P1</t>
  </si>
  <si>
    <t>Creo que soy una persona activa y vigorosa.</t>
  </si>
  <si>
    <t>TOTALMENTE 
VERDADERO</t>
  </si>
  <si>
    <t>BASTANTE 
VERDADERO</t>
  </si>
  <si>
    <t>NI VERDADERO
NI FALSO</t>
  </si>
  <si>
    <t>BASTANTE 
FALSO</t>
  </si>
  <si>
    <t>TOTALMENTE 
FALSO</t>
  </si>
  <si>
    <t>P2</t>
  </si>
  <si>
    <t>No me gusta hacer las cosas razonando demasiado sobre ellas.</t>
  </si>
  <si>
    <t>P3</t>
  </si>
  <si>
    <t>Tiendo a involucrarme demasiado cuando alguien me cuenta sus problemas.</t>
  </si>
  <si>
    <t>P4</t>
  </si>
  <si>
    <t>No me preocupan especialmente las consecuencias que mis actos puedan tener sobre los demás.</t>
  </si>
  <si>
    <t>P5</t>
  </si>
  <si>
    <t>Estoy siempre informado sobre lo que sucede en el mundo.</t>
  </si>
  <si>
    <t>P6</t>
  </si>
  <si>
    <t>Nunca he dicho una mentira.</t>
  </si>
  <si>
    <t>P7</t>
  </si>
  <si>
    <t>No me gustan las actividades que exigen empeñarse y esforzarse hasta el agotamiento.</t>
  </si>
  <si>
    <t>P8</t>
  </si>
  <si>
    <t>Tiendo a ser muy reflexivo.</t>
  </si>
  <si>
    <t>P9</t>
  </si>
  <si>
    <t>No suelo sentirme tenso.</t>
  </si>
  <si>
    <t>P10</t>
  </si>
  <si>
    <t>Noto fácilmente cuando las personas necesitan mi ayuda.</t>
  </si>
  <si>
    <t>P11</t>
  </si>
  <si>
    <t>No recuerdo fácilmente los números de teléfono que son largos.</t>
  </si>
  <si>
    <t>P12</t>
  </si>
  <si>
    <t>Siempre he estado completamente de acuerdo con los demás.</t>
  </si>
  <si>
    <t>P13</t>
  </si>
  <si>
    <t>Generalmente tiendo a imponerme a las otras personas, más que a condescender con ellas.</t>
  </si>
  <si>
    <t>P14</t>
  </si>
  <si>
    <t>Ante los obstáculos grandes, no conviene empeñarse en conseguir los objetivos propios.</t>
  </si>
  <si>
    <t>P15</t>
  </si>
  <si>
    <t>Soy más bien susceptible.</t>
  </si>
  <si>
    <t>P16</t>
  </si>
  <si>
    <t>No es necesario comportarse cordialmente con todas las personas.</t>
  </si>
  <si>
    <t>P17</t>
  </si>
  <si>
    <t>No me siento muy atraído por las situaciones nuevas e inesperadas.</t>
  </si>
  <si>
    <t>P18</t>
  </si>
  <si>
    <t>Siempre he resuelto de inmediato todos los problemas que he encontrado.</t>
  </si>
  <si>
    <t>P19</t>
  </si>
  <si>
    <t>No me gustan los ambientes de trabajo en los que hay mucha competitividad.</t>
  </si>
  <si>
    <t>P20</t>
  </si>
  <si>
    <t>Llevo a cabo las decisiones que he tomado.</t>
  </si>
  <si>
    <t>P21</t>
  </si>
  <si>
    <t>No es fácil que algo o alguien me haga perder la calma.</t>
  </si>
  <si>
    <t>P22</t>
  </si>
  <si>
    <t>Me gusta mezclarme con la gente.</t>
  </si>
  <si>
    <t>P23</t>
  </si>
  <si>
    <t>Toda novedad me entusiasma.</t>
  </si>
  <si>
    <t>P24</t>
  </si>
  <si>
    <t>Nunca me he asustado ante un peligro, aunque fuera grave.</t>
  </si>
  <si>
    <t>P25</t>
  </si>
  <si>
    <t>Tiendo a decidir rápidamente.</t>
  </si>
  <si>
    <t>P26</t>
  </si>
  <si>
    <t>Antes de tomar cualquier iniciativa, me tomo tiempo para valorar las posibles consecuencias.</t>
  </si>
  <si>
    <t>P27</t>
  </si>
  <si>
    <t>No creo ser una persona ansiosa.</t>
  </si>
  <si>
    <t>P28</t>
  </si>
  <si>
    <t>No suelo saber cómo actuar ante las desgracias de mis amigos.</t>
  </si>
  <si>
    <t>P29</t>
  </si>
  <si>
    <t>Tengo muy buena memoria.</t>
  </si>
  <si>
    <t>P30</t>
  </si>
  <si>
    <t>Siempre he estado absolutamente seguro de todas mis acciones.</t>
  </si>
  <si>
    <t>P31</t>
  </si>
  <si>
    <t>En mi trabajo no le concedo especial importancia a rendir mejor que los demás.</t>
  </si>
  <si>
    <t>P32</t>
  </si>
  <si>
    <t>No me gusta vivir de manera demasiado metódica y ordenada.</t>
  </si>
  <si>
    <t>P33</t>
  </si>
  <si>
    <t>Me siento vulnerable a las críticas de los demás.</t>
  </si>
  <si>
    <t>P34</t>
  </si>
  <si>
    <t>Si es preciso, no tengo inconveniente en ayudar a un desconocido.</t>
  </si>
  <si>
    <t>P35</t>
  </si>
  <si>
    <t>No me atraen las situaciones en constante cambio.</t>
  </si>
  <si>
    <t>P36</t>
  </si>
  <si>
    <t>Nunca he desobedecido las órdenes recibidas, ni siquiera siendo niño.</t>
  </si>
  <si>
    <t>P37</t>
  </si>
  <si>
    <t>No me gustan aquellas actividades en las que es preciso ir de un sitio a otro y moverse continuamente.</t>
  </si>
  <si>
    <t>P38</t>
  </si>
  <si>
    <t>No creo que sea preciso esforzarme más allá del límite de las propias fuerzas, incluso aunque haya que cumplir algún plazo.</t>
  </si>
  <si>
    <t>P39</t>
  </si>
  <si>
    <t>Estoy dispuesto a esforzarme al máximo con tal de destacar.</t>
  </si>
  <si>
    <t>P40</t>
  </si>
  <si>
    <t>Si tengo que críticar a los demás, lo hago, sobre todo cuando se lo merecen.</t>
  </si>
  <si>
    <t>P41</t>
  </si>
  <si>
    <t>Creo que no hay valores y costumbres totalmente válidos y eternos.</t>
  </si>
  <si>
    <t>P42</t>
  </si>
  <si>
    <t>Para enfrentarse a un problema no es efectivo tener presentes muchos puntos de vista diferentes.</t>
  </si>
  <si>
    <t>P43</t>
  </si>
  <si>
    <t>En general no me irrito, ni siquiera en situaciones en las que tendría motivos suficientes para ello.</t>
  </si>
  <si>
    <t>P44</t>
  </si>
  <si>
    <t>Si me equivoco, siempre me resulta fácil admitirlo.</t>
  </si>
  <si>
    <t>P45</t>
  </si>
  <si>
    <t>Cuando me enfado manifiesto mi malhumor.</t>
  </si>
  <si>
    <t>P46</t>
  </si>
  <si>
    <t>Llevo a cabo lo que he decidido, aunque me suponga un esfuerzo no previsto.</t>
  </si>
  <si>
    <t>P47</t>
  </si>
  <si>
    <t>No pierdo tiempo en aprender cosas que no estén estrictamente relacionadas con mi campo de interés.</t>
  </si>
  <si>
    <t>P48</t>
  </si>
  <si>
    <t>Casi siempre sé como ajustarme a las exigencias de los demás.</t>
  </si>
  <si>
    <t>P49</t>
  </si>
  <si>
    <t>Llevo adelante las tareas emprendidas, aunque los resultados iniciales parezcan negativos.</t>
  </si>
  <si>
    <t>P50</t>
  </si>
  <si>
    <t>No suelo sentirme sólo y triste.</t>
  </si>
  <si>
    <t>P51</t>
  </si>
  <si>
    <t>No me gusta hacer varias cosas al mismo tiempo.</t>
  </si>
  <si>
    <t>P52</t>
  </si>
  <si>
    <t>Habitualmente muestro una actitud cordial, incluso con las personas que me provocan una cierta antipatía.</t>
  </si>
  <si>
    <t>P53</t>
  </si>
  <si>
    <t>A medudo estoy completamente absorbido por mis compromisos y actividades.</t>
  </si>
  <si>
    <t>P54</t>
  </si>
  <si>
    <t>Cuando algo entorpece mis proyectos, no insisto en conseguirlos e intento otros.</t>
  </si>
  <si>
    <t>P55</t>
  </si>
  <si>
    <t>No me interesan los programas televisivos que me exigen esfuerzo e implicación.</t>
  </si>
  <si>
    <t>P56</t>
  </si>
  <si>
    <t>Soy una persona que siempre busca nuevas experiencas.</t>
  </si>
  <si>
    <t>P57</t>
  </si>
  <si>
    <t>Me molesta mucho el desorden.</t>
  </si>
  <si>
    <t>P58</t>
  </si>
  <si>
    <t>No suelo reaccionar de modo impulsivo.</t>
  </si>
  <si>
    <t>P59</t>
  </si>
  <si>
    <t>Siempre encuentro buenos argumentos para sostener mis propuestas y convencer a los demás de su validez.</t>
  </si>
  <si>
    <t>P60</t>
  </si>
  <si>
    <t>Me gusta estar bien informado, incluso sobre temas alejados de mi ámbito de competencia.</t>
  </si>
  <si>
    <t>P61</t>
  </si>
  <si>
    <t>No doy mucha importancia a demostrar mis capacidades.</t>
  </si>
  <si>
    <t>P62</t>
  </si>
  <si>
    <t>Mi humor pasa por altibajos frecuentes.</t>
  </si>
  <si>
    <t>P63</t>
  </si>
  <si>
    <t>A veces me enfado por cosas de poca importancia.</t>
  </si>
  <si>
    <t>P64</t>
  </si>
  <si>
    <t>No hago fácilmente un préstamo, ni siquiera a personas que conozco bien.</t>
  </si>
  <si>
    <t>P65</t>
  </si>
  <si>
    <t>No me gusta estar en grupos numerosos.</t>
  </si>
  <si>
    <t>P66</t>
  </si>
  <si>
    <t>No suelo planificar mi vida hasta en los más pequeños detalles.</t>
  </si>
  <si>
    <t>P67</t>
  </si>
  <si>
    <t>Nunca me han interesado la vida y costumbres de otros pueblos.</t>
  </si>
  <si>
    <t>P68</t>
  </si>
  <si>
    <t>No dudo en decir lo que pienso.</t>
  </si>
  <si>
    <t>P69</t>
  </si>
  <si>
    <t>A menudo me noto inquieto.</t>
  </si>
  <si>
    <t>P70</t>
  </si>
  <si>
    <t>En general no es conveniente mostrarse sensible a los problemas de los demás.</t>
  </si>
  <si>
    <t>P71</t>
  </si>
  <si>
    <t>En las reuniones no me preocupo especialmente por llamar la atención.</t>
  </si>
  <si>
    <t>P72</t>
  </si>
  <si>
    <t>Creo que todo problema puede ser resuelto de varias maneras.</t>
  </si>
  <si>
    <t>P73</t>
  </si>
  <si>
    <t>Si creo que tengo razón, intento convencer a los demás aunque me cueste tiempo y energía.</t>
  </si>
  <si>
    <t>P74</t>
  </si>
  <si>
    <t>Normalmente tiendo a no fiarme mucho de mi prójimo</t>
  </si>
  <si>
    <t>P75</t>
  </si>
  <si>
    <t>Difícilmente desisto de una actividad que he comenzado.</t>
  </si>
  <si>
    <t>P76</t>
  </si>
  <si>
    <t>No suelo perder la calma.</t>
  </si>
  <si>
    <t>P77</t>
  </si>
  <si>
    <t>No dedico mucho tiempo a la lectura.</t>
  </si>
  <si>
    <t>P78</t>
  </si>
  <si>
    <t>Normalmente no entablo conversación con compañeros ocasionales de viaje.</t>
  </si>
  <si>
    <t>P79</t>
  </si>
  <si>
    <t>A veces soy tan escrupuloso que puedo resultar pésado.</t>
  </si>
  <si>
    <t>P80</t>
  </si>
  <si>
    <t>Siempre me he comportado de modo totalmente desinteresado.</t>
  </si>
  <si>
    <t>P81</t>
  </si>
  <si>
    <t>No tengo dificultad para controlar mis sentimientos.</t>
  </si>
  <si>
    <t>P82</t>
  </si>
  <si>
    <t>Nunca he sido un perfeccionista.</t>
  </si>
  <si>
    <t>P83</t>
  </si>
  <si>
    <t>En diversas circunstancias me he comportado impulsivamente.</t>
  </si>
  <si>
    <t>P84</t>
  </si>
  <si>
    <t>Nunca he discutido o peleado con otra persona.</t>
  </si>
  <si>
    <t>P85</t>
  </si>
  <si>
    <t>Es inútil empeñarse totalmente en algo, porque la perfección no se alcanza nunca.</t>
  </si>
  <si>
    <t>P86</t>
  </si>
  <si>
    <t>Tengo en gran consideración el punto de vista de mis compañeros.</t>
  </si>
  <si>
    <t>P87</t>
  </si>
  <si>
    <t>Siempre me han apasionado las ciencias.</t>
  </si>
  <si>
    <t>P88</t>
  </si>
  <si>
    <t>Me resulta fácil hacer confidencias a los demás.</t>
  </si>
  <si>
    <t>P89</t>
  </si>
  <si>
    <t>Normalmente no reacciono de modo exagerado, ni siquiera ante las emosiones fuertes.</t>
  </si>
  <si>
    <t>P90</t>
  </si>
  <si>
    <t>No creo que conocer la historia sirva de mucho.</t>
  </si>
  <si>
    <t>P91</t>
  </si>
  <si>
    <t>No suelo reaccionar a las provocaciones.</t>
  </si>
  <si>
    <t>P92</t>
  </si>
  <si>
    <t>Nada de lo que he hecho podría haberlo hecho mejor.</t>
  </si>
  <si>
    <t>P93</t>
  </si>
  <si>
    <t>Creo que todas las personas tienen algo de bueno.</t>
  </si>
  <si>
    <t>P94</t>
  </si>
  <si>
    <t>Me resulta fácil hablar con personas que no conozco.</t>
  </si>
  <si>
    <t>P95</t>
  </si>
  <si>
    <t>No creo que haya posibilidad de convencer a otro cuando no piensa como nosotros.</t>
  </si>
  <si>
    <t>P96</t>
  </si>
  <si>
    <t>Si fracaso en algo, intento de nuevo hasta conseguirlo.</t>
  </si>
  <si>
    <t>P97</t>
  </si>
  <si>
    <t>Siempre me han fascinado las culturas muy diferentes a la mía.</t>
  </si>
  <si>
    <t>P98</t>
  </si>
  <si>
    <t>A menudo me siento nervioso.</t>
  </si>
  <si>
    <t>P99</t>
  </si>
  <si>
    <t>No soy una persona habladora.</t>
  </si>
  <si>
    <t>P100</t>
  </si>
  <si>
    <t>No merece mucho la pena ajustarse a las exigencias de los compañeros, cuando ello supone una disminución del propio ritmo de trabajo.</t>
  </si>
  <si>
    <t>P101</t>
  </si>
  <si>
    <t>Siempre he comprendido de inmediato todo lo que he leído.</t>
  </si>
  <si>
    <t>P102</t>
  </si>
  <si>
    <t>Siempre estoy seguro de mí mismo.</t>
  </si>
  <si>
    <t>P103</t>
  </si>
  <si>
    <t>No comprendo qué empuja a las personas a comportarse de modo diferente a la norma.</t>
  </si>
  <si>
    <t>P104</t>
  </si>
  <si>
    <t>Me molesta mucho que me interrumpan mientras estoy haciendo algo que me interesa.</t>
  </si>
  <si>
    <t>P105</t>
  </si>
  <si>
    <t>Me gusta mucho ver programas de información cultural o científica.</t>
  </si>
  <si>
    <t>P106</t>
  </si>
  <si>
    <t>Antes de entregar un trabajo, dedico mucho tiempo a revisarlo.</t>
  </si>
  <si>
    <t>P107</t>
  </si>
  <si>
    <t>Si algo no se desarrolla tan pronto como deseaba, no insisto demasiado.</t>
  </si>
  <si>
    <t>P108</t>
  </si>
  <si>
    <t>Si es preciso, no dudo en decir a los demás que se metan en sus asuntos.</t>
  </si>
  <si>
    <t>P109</t>
  </si>
  <si>
    <t>Si alguna acción mía puede llegar a desagradar a alguien, seguramente dejo de hacerla.</t>
  </si>
  <si>
    <t>P110</t>
  </si>
  <si>
    <t>Cuando un trabajo está terminado, no me pongo a repasarlo en sus mínimos detalles.</t>
  </si>
  <si>
    <t>P111</t>
  </si>
  <si>
    <t>Estoy convencido de que se obtienen mejores resultados cooperando con los demás, que compitiendo.</t>
  </si>
  <si>
    <t>P112</t>
  </si>
  <si>
    <t>Prefiero leer a practicar alguna actividad deportiva.</t>
  </si>
  <si>
    <t>P113</t>
  </si>
  <si>
    <t>Nunca he críticado a otra persona.</t>
  </si>
  <si>
    <t>P114</t>
  </si>
  <si>
    <t>Afronto todas mis actividades y experiencias con gran entunsiasmo.</t>
  </si>
  <si>
    <t>P115</t>
  </si>
  <si>
    <t>Sólo quedo satisfecho cuando veo los resultados de lo que había programado.</t>
  </si>
  <si>
    <t>P116</t>
  </si>
  <si>
    <t>Cuando me crítican, no puedo evitar exigir explicaciones.</t>
  </si>
  <si>
    <t>P117</t>
  </si>
  <si>
    <t>No se obtiene nada en la vida sin ser competitivo.</t>
  </si>
  <si>
    <t>P118</t>
  </si>
  <si>
    <t>Siempre intento ver las cosas desde distintos enfoques.</t>
  </si>
  <si>
    <t>P119</t>
  </si>
  <si>
    <t>Incluso en situaciones muy difíciles, no pierdo el control.</t>
  </si>
  <si>
    <t>P120</t>
  </si>
  <si>
    <t>A veces incluso pequeñas dificultades pueden llegar a preocuparme.</t>
  </si>
  <si>
    <t>P121</t>
  </si>
  <si>
    <t>Generalmente no me comporto de manera abierta con los extraños.</t>
  </si>
  <si>
    <t>P122</t>
  </si>
  <si>
    <t>No suelo cambiar de humor bruscamente.</t>
  </si>
  <si>
    <t>P123</t>
  </si>
  <si>
    <t>No me gustan las actividades que implican riesgo.</t>
  </si>
  <si>
    <t>P124</t>
  </si>
  <si>
    <t>Nunca he tenido mucho interés por los temas científicos o filosóficos.</t>
  </si>
  <si>
    <t>P125</t>
  </si>
  <si>
    <t>Cuando empiezo a hacer algo, nunca sé si lo terminaré.</t>
  </si>
  <si>
    <t>P126</t>
  </si>
  <si>
    <t>Generalmente confío en los demás y en sus intenciones.</t>
  </si>
  <si>
    <t>P127</t>
  </si>
  <si>
    <t>Siempre he mostrado simpatía por todas las personas que he conocido.</t>
  </si>
  <si>
    <t>P128</t>
  </si>
  <si>
    <t>Con ciertas personas no es necesario ser demasiado tolerante.</t>
  </si>
  <si>
    <t>P129</t>
  </si>
  <si>
    <t>Suelo cuidar todas las cosas hasta en sus mínimos detalles.</t>
  </si>
  <si>
    <t>P130</t>
  </si>
  <si>
    <t>No es trabajando en grupo como se pueden desarrollar mejor las propias capacidades.</t>
  </si>
  <si>
    <t>P131</t>
  </si>
  <si>
    <t>No suelo buscar soluciones nuevas a problemas para los que ya existe una solución eficaz.</t>
  </si>
  <si>
    <t>P132</t>
  </si>
  <si>
    <t>No creo que sea útil perder tiempo repasando varias veces el trabajo hecho.</t>
  </si>
  <si>
    <t>COMPRUEBE SI RESPONDIÓ TODAS PREGUNTAS</t>
  </si>
  <si>
    <t>UNA VEZ IMPRESO EL PERFIL UNA LOS PUNTOS CON UNA LINEA CONTINUA</t>
  </si>
  <si>
    <t>BFQ</t>
  </si>
  <si>
    <t>HOJA DE PERFIL</t>
  </si>
  <si>
    <t>Verifica las respuestas</t>
  </si>
  <si>
    <t>Hay</t>
  </si>
  <si>
    <t>preguntas sin responder</t>
  </si>
  <si>
    <t>MUY BAJO</t>
  </si>
  <si>
    <t>BAJO</t>
  </si>
  <si>
    <t>PROMEDIO</t>
  </si>
  <si>
    <t>ALTO</t>
  </si>
  <si>
    <t>MUY ALTO</t>
  </si>
  <si>
    <t>Dim.</t>
  </si>
  <si>
    <t>PD</t>
  </si>
  <si>
    <t>------</t>
  </si>
  <si>
    <t>----</t>
  </si>
  <si>
    <t>--</t>
  </si>
  <si>
    <t>Di</t>
  </si>
  <si>
    <t>Subdimensiones hombres</t>
  </si>
  <si>
    <t>Do</t>
  </si>
  <si>
    <t>pb</t>
  </si>
  <si>
    <t>Cp</t>
  </si>
  <si>
    <t>Co</t>
  </si>
  <si>
    <t>Es</t>
  </si>
  <si>
    <t>Pe</t>
  </si>
  <si>
    <t>Ce</t>
  </si>
  <si>
    <t>Ci</t>
  </si>
  <si>
    <t>Ac</t>
  </si>
  <si>
    <t>Ae</t>
  </si>
  <si>
    <t>Energia</t>
  </si>
  <si>
    <t>Dinamismo</t>
  </si>
  <si>
    <t>Dominancia</t>
  </si>
  <si>
    <t>Distorión</t>
  </si>
  <si>
    <t>Afabilidad</t>
  </si>
  <si>
    <t>Cooperación</t>
  </si>
  <si>
    <t>Coordialidad</t>
  </si>
  <si>
    <t>Subdimensiones mujeres</t>
  </si>
  <si>
    <t>Tesón</t>
  </si>
  <si>
    <t>Escrupulosidad</t>
  </si>
  <si>
    <t>Perseverancia</t>
  </si>
  <si>
    <t>Estabilidad Emocional</t>
  </si>
  <si>
    <t>Cont Emociones</t>
  </si>
  <si>
    <t>Cont Impulsos</t>
  </si>
  <si>
    <t>Apertura Mental</t>
  </si>
  <si>
    <t>Ap Cultura</t>
  </si>
  <si>
    <t>Ap Experiencia</t>
  </si>
  <si>
    <t>El usuario se compromete a dar un uso adecuado y responsable a la utilidad, previa adquisición de la licencia ante distribuidores autorizados de la prueba BFQ.</t>
  </si>
  <si>
    <t>Esta utilidad del sistema le permite contar con textos asociados a las puntuaciones. Para una correcta interpretación del perfil contraste los textos  al interior de cada una de las diferentes áreas. Además, tenga en cuenta plantear hipótesis que se validaran o desecharan dependiendo de las relaciones entre los factores.</t>
  </si>
  <si>
    <t>Distorsión</t>
  </si>
  <si>
    <t>Dimensiones y subdimensiones</t>
  </si>
  <si>
    <t>Esta persona se presenta como:</t>
  </si>
  <si>
    <t>Muy</t>
  </si>
  <si>
    <t>Bastante</t>
  </si>
  <si>
    <t>Moderadamente</t>
  </si>
  <si>
    <t>Poco</t>
  </si>
  <si>
    <t>Muy poco</t>
  </si>
  <si>
    <t>Extravertida</t>
  </si>
  <si>
    <t>Dinámica y activa</t>
  </si>
  <si>
    <t>Dimensiones hombres</t>
  </si>
  <si>
    <t>Dominante y asertiva</t>
  </si>
  <si>
    <t>Cooperadora, y afectiva</t>
  </si>
  <si>
    <t>Altruista, comprensiva y tolerante</t>
  </si>
  <si>
    <t>Coordial y cortés</t>
  </si>
  <si>
    <t>Responsable, ordenada y diligente</t>
  </si>
  <si>
    <t>Meticulosa y precisa</t>
  </si>
  <si>
    <t>Perseverante y tenaz</t>
  </si>
  <si>
    <t>Equilibrada, tranquila y paciente</t>
  </si>
  <si>
    <t>Capaz de dominar sus emociones</t>
  </si>
  <si>
    <t>Capaz de dominar sus impulsos</t>
  </si>
  <si>
    <t>Creativa, fantasiosa e informada</t>
  </si>
  <si>
    <t>Dimensiones mujeres</t>
  </si>
  <si>
    <t>Abierta a los intereses de tipo cultural</t>
  </si>
  <si>
    <t>Abierta a lo nuevo, a ideas y valores diferentes a los propios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</si>
</sst>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&quot;de&quot;\ mmmm\ &quot;de&quot;\ yyyy"/>
  </numFmts>
  <fonts count="15" x14ac:knownFonts="1">
    <font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10"/>
      <color indexed="10"/>
      <name val="Arial"/>
      <family val="2"/>
    </font>
    <font>
      <b/>
      <i/>
      <u/>
      <sz val="9"/>
      <color rgb="FF000000"/>
      <name val="@MS Mincho"/>
    </font>
    <font>
      <sz val="10"/>
      <color rgb="FF000000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sz val="8"/>
      <color indexed="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/>
  </cellStyleXfs>
  <cellXfs count="183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2" fillId="2" borderId="0" xfId="0" applyFont="1" applyFill="1" applyAlignment="1">
      <alignment horizontal="center"/>
    </xf>
    <xf numFmtId="0" fontId="0" fillId="5" borderId="14" xfId="0" applyFill="1" applyBorder="1"/>
    <xf numFmtId="0" fontId="0" fillId="5" borderId="15" xfId="0" applyFill="1" applyBorder="1"/>
    <xf numFmtId="0" fontId="0" fillId="0" borderId="16" xfId="0" applyBorder="1"/>
    <xf numFmtId="0" fontId="0" fillId="0" borderId="1" xfId="0" applyBorder="1"/>
    <xf numFmtId="0" fontId="0" fillId="0" borderId="17" xfId="0" applyBorder="1" applyProtection="1">
      <protection locked="0"/>
    </xf>
    <xf numFmtId="164" fontId="3" fillId="3" borderId="10" xfId="0" applyNumberFormat="1" applyFont="1" applyFill="1" applyBorder="1" applyAlignment="1">
      <alignment horizontal="left"/>
    </xf>
    <xf numFmtId="0" fontId="0" fillId="0" borderId="2" xfId="0" applyBorder="1" applyProtection="1">
      <protection locked="0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 applyProtection="1">
      <protection locked="0"/>
    </xf>
    <xf numFmtId="15" fontId="0" fillId="2" borderId="0" xfId="0" applyNumberForma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2" borderId="21" xfId="0" applyFont="1" applyFill="1" applyBorder="1" applyAlignment="1">
      <alignment horizontal="justify" wrapText="1"/>
    </xf>
    <xf numFmtId="0" fontId="0" fillId="2" borderId="22" xfId="0" applyFill="1" applyBorder="1"/>
    <xf numFmtId="0" fontId="2" fillId="0" borderId="21" xfId="0" applyFont="1" applyBorder="1"/>
    <xf numFmtId="0" fontId="2" fillId="0" borderId="0" xfId="0" applyFont="1"/>
    <xf numFmtId="0" fontId="0" fillId="0" borderId="22" xfId="0" applyBorder="1"/>
    <xf numFmtId="0" fontId="2" fillId="0" borderId="6" xfId="0" applyFont="1" applyBorder="1" applyAlignment="1">
      <alignment horizontal="justify" wrapText="1"/>
    </xf>
    <xf numFmtId="0" fontId="0" fillId="0" borderId="7" xfId="0" applyBorder="1"/>
    <xf numFmtId="0" fontId="0" fillId="0" borderId="8" xfId="0" applyBorder="1"/>
    <xf numFmtId="0" fontId="0" fillId="2" borderId="0" xfId="0" applyFill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6" borderId="21" xfId="0" applyFont="1" applyFill="1" applyBorder="1"/>
    <xf numFmtId="0" fontId="6" fillId="6" borderId="0" xfId="0" applyFont="1" applyFill="1"/>
    <xf numFmtId="0" fontId="6" fillId="6" borderId="22" xfId="0" applyFont="1" applyFill="1" applyBorder="1"/>
    <xf numFmtId="0" fontId="7" fillId="6" borderId="0" xfId="0" applyFont="1" applyFill="1" applyAlignment="1">
      <alignment horizontal="center" wrapText="1"/>
    </xf>
    <xf numFmtId="0" fontId="2" fillId="0" borderId="27" xfId="0" applyFont="1" applyBorder="1" applyAlignment="1" applyProtection="1">
      <alignment horizontal="center"/>
      <protection locked="0"/>
    </xf>
    <xf numFmtId="0" fontId="8" fillId="2" borderId="0" xfId="0" applyFont="1" applyFill="1"/>
    <xf numFmtId="0" fontId="6" fillId="6" borderId="6" xfId="0" applyFont="1" applyFill="1" applyBorder="1"/>
    <xf numFmtId="0" fontId="2" fillId="6" borderId="7" xfId="0" applyFont="1" applyFill="1" applyBorder="1" applyAlignment="1">
      <alignment horizontal="center"/>
    </xf>
    <xf numFmtId="0" fontId="6" fillId="6" borderId="8" xfId="0" applyFont="1" applyFill="1" applyBorder="1"/>
    <xf numFmtId="0" fontId="0" fillId="0" borderId="2" xfId="0" applyBorder="1"/>
    <xf numFmtId="0" fontId="2" fillId="6" borderId="24" xfId="0" applyFont="1" applyFill="1" applyBorder="1" applyAlignment="1">
      <alignment horizontal="left" wrapText="1"/>
    </xf>
    <xf numFmtId="0" fontId="2" fillId="6" borderId="25" xfId="0" applyFont="1" applyFill="1" applyBorder="1" applyAlignment="1">
      <alignment horizontal="left" wrapText="1"/>
    </xf>
    <xf numFmtId="0" fontId="2" fillId="6" borderId="26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2" fillId="0" borderId="21" xfId="0" applyFont="1" applyBorder="1"/>
    <xf numFmtId="0" fontId="2" fillId="0" borderId="0" xfId="0" applyFont="1"/>
    <xf numFmtId="0" fontId="2" fillId="0" borderId="22" xfId="0" applyFont="1" applyBorder="1"/>
    <xf numFmtId="0" fontId="2" fillId="0" borderId="21" xfId="0" applyFont="1" applyBorder="1" applyAlignment="1">
      <alignment horizontal="justify" vertical="justify" wrapText="1"/>
    </xf>
    <xf numFmtId="0" fontId="2" fillId="0" borderId="0" xfId="0" applyFont="1" applyAlignment="1">
      <alignment horizontal="justify" vertical="justify" wrapText="1"/>
    </xf>
    <xf numFmtId="0" fontId="2" fillId="0" borderId="22" xfId="0" applyFont="1" applyBorder="1" applyAlignment="1">
      <alignment horizontal="justify" vertical="justify" wrapText="1"/>
    </xf>
    <xf numFmtId="0" fontId="2" fillId="3" borderId="9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21" xfId="0" applyFont="1" applyBorder="1" applyAlignment="1">
      <alignment horizontal="justify" wrapText="1"/>
    </xf>
    <xf numFmtId="0" fontId="2" fillId="0" borderId="0" xfId="0" applyFont="1" applyAlignment="1">
      <alignment horizontal="justify" wrapText="1"/>
    </xf>
    <xf numFmtId="0" fontId="2" fillId="0" borderId="22" xfId="0" applyFont="1" applyBorder="1" applyAlignment="1">
      <alignment horizontal="justify" wrapText="1"/>
    </xf>
    <xf numFmtId="0" fontId="2" fillId="0" borderId="2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2" xfId="0" applyFont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15" fontId="0" fillId="0" borderId="11" xfId="0" applyNumberFormat="1" applyBorder="1" applyAlignment="1" applyProtection="1">
      <alignment horizontal="left"/>
      <protection locked="0"/>
    </xf>
    <xf numFmtId="15" fontId="0" fillId="0" borderId="10" xfId="0" applyNumberFormat="1" applyBorder="1" applyAlignment="1" applyProtection="1">
      <alignment horizontal="left"/>
      <protection locked="0"/>
    </xf>
    <xf numFmtId="164" fontId="0" fillId="0" borderId="11" xfId="0" applyNumberFormat="1" applyBorder="1" applyAlignment="1" applyProtection="1">
      <alignment horizontal="left"/>
      <protection locked="0"/>
    </xf>
    <xf numFmtId="164" fontId="0" fillId="0" borderId="13" xfId="0" applyNumberFormat="1" applyBorder="1" applyAlignment="1" applyProtection="1">
      <alignment horizontal="left"/>
      <protection locked="0"/>
    </xf>
    <xf numFmtId="0" fontId="2" fillId="3" borderId="12" xfId="0" applyFont="1" applyFill="1" applyBorder="1" applyAlignment="1">
      <alignment horizontal="left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13" xfId="0" applyFont="1" applyBorder="1" applyAlignment="1" applyProtection="1">
      <alignment horizontal="left"/>
      <protection locked="0"/>
    </xf>
    <xf numFmtId="0" fontId="2" fillId="0" borderId="3" xfId="0" applyFont="1" applyBorder="1" applyAlignment="1">
      <alignment horizontal="justify" wrapText="1"/>
    </xf>
    <xf numFmtId="0" fontId="0" fillId="0" borderId="4" xfId="0" applyBorder="1"/>
    <xf numFmtId="0" fontId="0" fillId="0" borderId="5" xfId="0" applyBorder="1"/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3" xfId="0" applyBorder="1"/>
    <xf numFmtId="0" fontId="0" fillId="0" borderId="21" xfId="0" applyBorder="1"/>
    <xf numFmtId="0" fontId="3" fillId="6" borderId="9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/>
    <xf numFmtId="0" fontId="11" fillId="0" borderId="7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15" fontId="3" fillId="0" borderId="32" xfId="0" applyNumberFormat="1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" fillId="0" borderId="43" xfId="0" applyFont="1" applyBorder="1" applyAlignment="1">
      <alignment horizontal="center" vertical="center" textRotation="90"/>
    </xf>
    <xf numFmtId="0" fontId="2" fillId="0" borderId="44" xfId="0" applyFont="1" applyBorder="1" applyAlignment="1">
      <alignment horizontal="center" vertical="center" textRotation="90"/>
    </xf>
    <xf numFmtId="0" fontId="2" fillId="0" borderId="45" xfId="0" applyFont="1" applyBorder="1" applyAlignment="1">
      <alignment horizontal="center" vertical="center" textRotation="90"/>
    </xf>
    <xf numFmtId="0" fontId="2" fillId="0" borderId="46" xfId="0" applyFont="1" applyBorder="1" applyAlignment="1">
      <alignment horizontal="center" vertical="center" textRotation="90"/>
    </xf>
    <xf numFmtId="0" fontId="2" fillId="0" borderId="47" xfId="0" applyFont="1" applyBorder="1" applyAlignment="1">
      <alignment horizontal="center" vertical="center" textRotation="90"/>
    </xf>
    <xf numFmtId="0" fontId="2" fillId="0" borderId="48" xfId="0" applyFont="1" applyBorder="1" applyAlignment="1">
      <alignment horizontal="center" vertical="center" textRotation="90"/>
    </xf>
    <xf numFmtId="0" fontId="2" fillId="0" borderId="49" xfId="0" applyFont="1" applyBorder="1" applyAlignment="1">
      <alignment horizontal="center" vertical="center" textRotation="90"/>
    </xf>
    <xf numFmtId="0" fontId="2" fillId="0" borderId="50" xfId="0" applyFont="1" applyBorder="1" applyAlignment="1">
      <alignment horizontal="center" vertical="center" textRotation="90"/>
    </xf>
    <xf numFmtId="0" fontId="2" fillId="0" borderId="51" xfId="0" applyFont="1" applyBorder="1" applyAlignment="1">
      <alignment horizontal="center" vertical="center" textRotation="90"/>
    </xf>
    <xf numFmtId="0" fontId="2" fillId="0" borderId="52" xfId="0" applyFont="1" applyBorder="1" applyAlignment="1">
      <alignment horizontal="center" vertical="center" textRotation="90"/>
    </xf>
    <xf numFmtId="0" fontId="2" fillId="0" borderId="53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0" fillId="6" borderId="17" xfId="0" quotePrefix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6" borderId="55" xfId="0" quotePrefix="1" applyFill="1" applyBorder="1" applyAlignment="1">
      <alignment horizontal="center"/>
    </xf>
    <xf numFmtId="0" fontId="4" fillId="6" borderId="11" xfId="0" quotePrefix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quotePrefix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 textRotation="90"/>
    </xf>
    <xf numFmtId="0" fontId="2" fillId="0" borderId="57" xfId="0" applyFont="1" applyBorder="1" applyAlignment="1">
      <alignment horizontal="center" vertical="center" textRotation="90"/>
    </xf>
    <xf numFmtId="0" fontId="2" fillId="0" borderId="58" xfId="0" applyFont="1" applyBorder="1" applyAlignment="1">
      <alignment horizontal="center" vertical="center" textRotation="90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2" fillId="0" borderId="61" xfId="0" applyFont="1" applyBorder="1" applyAlignment="1">
      <alignment horizontal="center" vertical="center" textRotation="90"/>
    </xf>
    <xf numFmtId="0" fontId="2" fillId="0" borderId="62" xfId="0" applyFont="1" applyBorder="1" applyAlignment="1">
      <alignment horizontal="center" vertical="center" textRotation="90"/>
    </xf>
    <xf numFmtId="0" fontId="2" fillId="0" borderId="63" xfId="0" applyFont="1" applyBorder="1" applyAlignment="1">
      <alignment horizontal="center" vertical="center" textRotation="90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3" fillId="0" borderId="36" xfId="0" applyFont="1" applyBorder="1"/>
    <xf numFmtId="0" fontId="11" fillId="0" borderId="37" xfId="0" applyFont="1" applyBorder="1"/>
    <xf numFmtId="0" fontId="3" fillId="0" borderId="37" xfId="0" applyFont="1" applyBorder="1"/>
    <xf numFmtId="0" fontId="11" fillId="0" borderId="38" xfId="0" applyFont="1" applyBorder="1"/>
    <xf numFmtId="0" fontId="0" fillId="0" borderId="36" xfId="0" applyBorder="1"/>
    <xf numFmtId="0" fontId="2" fillId="0" borderId="37" xfId="0" applyFont="1" applyBorder="1"/>
    <xf numFmtId="0" fontId="0" fillId="0" borderId="37" xfId="0" applyBorder="1"/>
    <xf numFmtId="0" fontId="0" fillId="0" borderId="38" xfId="0" applyBorder="1"/>
    <xf numFmtId="0" fontId="11" fillId="0" borderId="19" xfId="0" applyFont="1" applyBorder="1"/>
    <xf numFmtId="0" fontId="3" fillId="0" borderId="19" xfId="0" applyFont="1" applyBorder="1"/>
    <xf numFmtId="0" fontId="4" fillId="7" borderId="0" xfId="1" applyFill="1" applyAlignment="1" applyProtection="1">
      <alignment horizontal="left" vertical="center" wrapText="1"/>
      <protection hidden="1"/>
    </xf>
    <xf numFmtId="0" fontId="4" fillId="7" borderId="22" xfId="1" applyFill="1" applyBorder="1" applyAlignment="1" applyProtection="1">
      <alignment horizontal="left" vertical="center" wrapText="1"/>
      <protection hidden="1"/>
    </xf>
    <xf numFmtId="0" fontId="4" fillId="7" borderId="0" xfId="1" applyFill="1" applyAlignment="1" applyProtection="1">
      <alignment vertical="center"/>
      <protection hidden="1"/>
    </xf>
    <xf numFmtId="0" fontId="0" fillId="0" borderId="0" xfId="0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3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9" xfId="0" applyFont="1" applyBorder="1"/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37" xfId="0" applyFont="1" applyBorder="1" applyAlignment="1">
      <alignment horizontal="left" wrapText="1"/>
    </xf>
    <xf numFmtId="0" fontId="0" fillId="0" borderId="6" xfId="0" applyBorder="1"/>
    <xf numFmtId="0" fontId="14" fillId="7" borderId="21" xfId="1" applyFont="1" applyFill="1" applyBorder="1" applyAlignment="1" applyProtection="1">
      <alignment vertical="center"/>
      <protection hidden="1"/>
    </xf>
    <xf numFmtId="0" fontId="14" fillId="7" borderId="0" xfId="1" applyFont="1" applyFill="1" applyAlignment="1" applyProtection="1">
      <alignment vertical="center"/>
      <protection hidden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_CMT para 16pf" xfId="1" xr:uid="{E07DE6F9-BCBD-4998-86F5-2DDF7A91D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Lines="3" dropStyle="combo" dx="22" fmlaLink="$N$6" fmlaRange="$K$6:$K$8" noThreeD="1" sel="1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9525</xdr:rowOff>
        </xdr:from>
        <xdr:to>
          <xdr:col>5</xdr:col>
          <xdr:colOff>495300</xdr:colOff>
          <xdr:row>8</xdr:row>
          <xdr:rowOff>9525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85725</xdr:colOff>
          <xdr:row>1</xdr:row>
          <xdr:rowOff>9525</xdr:rowOff>
        </xdr:from>
        <xdr:to>
          <xdr:col>8</xdr:col>
          <xdr:colOff>390525</xdr:colOff>
          <xdr:row>2</xdr:row>
          <xdr:rowOff>247650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ES" sz="900" b="1" i="1" u="sng" strike="noStrike" baseline="0">
                  <a:solidFill>
                    <a:srgbClr val="000000"/>
                  </a:solidFill>
                  <a:latin typeface="@MS Mincho"/>
                  <a:ea typeface="@MS Mincho"/>
                </a:rPr>
                <a:t>Clik aquí borra los datos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821</xdr:row>
          <xdr:rowOff>95250</xdr:rowOff>
        </xdr:from>
        <xdr:to>
          <xdr:col>8</xdr:col>
          <xdr:colOff>495300</xdr:colOff>
          <xdr:row>823</xdr:row>
          <xdr:rowOff>38100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Inicio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av300725\Downloads\003%20-%20Big%20Five%20(BFQ)\Big%20Five%20(BFQ).xls" TargetMode="External"/><Relationship Id="rId1" Type="http://schemas.openxmlformats.org/officeDocument/2006/relationships/externalLinkPath" Target="Big%20Five%20(BFQ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acteristicas"/>
      <sheetName val="PD con plantilla"/>
      <sheetName val="Preguntas"/>
      <sheetName val="Grafica"/>
    </sheetNames>
    <definedNames>
      <definedName name="borrar"/>
      <definedName name="Inicio"/>
    </definedNames>
    <sheetDataSet>
      <sheetData sheetId="0"/>
      <sheetData sheetId="1">
        <row r="13">
          <cell r="E13">
            <v>0</v>
          </cell>
          <cell r="G13">
            <v>0</v>
          </cell>
        </row>
        <row r="14">
          <cell r="E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</row>
        <row r="23">
          <cell r="E23">
            <v>0</v>
          </cell>
        </row>
      </sheetData>
      <sheetData sheetId="2">
        <row r="7">
          <cell r="N7">
            <v>1</v>
          </cell>
        </row>
        <row r="31">
          <cell r="Q31" t="str">
            <v>error</v>
          </cell>
        </row>
        <row r="37">
          <cell r="Q37" t="str">
            <v>error</v>
          </cell>
        </row>
        <row r="43">
          <cell r="Q43" t="str">
            <v>error</v>
          </cell>
        </row>
        <row r="49">
          <cell r="Q49" t="str">
            <v>error</v>
          </cell>
        </row>
        <row r="55">
          <cell r="Q55" t="str">
            <v>error</v>
          </cell>
        </row>
        <row r="61">
          <cell r="Q61" t="str">
            <v>error</v>
          </cell>
        </row>
        <row r="67">
          <cell r="Q67" t="str">
            <v>error</v>
          </cell>
        </row>
        <row r="73">
          <cell r="Q73" t="str">
            <v>error</v>
          </cell>
        </row>
        <row r="79">
          <cell r="Q79" t="str">
            <v>error</v>
          </cell>
        </row>
        <row r="85">
          <cell r="Q85" t="str">
            <v>error</v>
          </cell>
        </row>
        <row r="91">
          <cell r="Q91" t="str">
            <v>error</v>
          </cell>
        </row>
        <row r="97">
          <cell r="Q97" t="str">
            <v>error</v>
          </cell>
        </row>
        <row r="103">
          <cell r="Q103" t="str">
            <v>error</v>
          </cell>
        </row>
        <row r="109">
          <cell r="Q109" t="str">
            <v>error</v>
          </cell>
        </row>
        <row r="115">
          <cell r="Q115" t="str">
            <v>error</v>
          </cell>
        </row>
        <row r="121">
          <cell r="Q121" t="str">
            <v>error</v>
          </cell>
        </row>
        <row r="127">
          <cell r="Q127" t="str">
            <v>error</v>
          </cell>
        </row>
        <row r="133">
          <cell r="Q133" t="str">
            <v>error</v>
          </cell>
        </row>
        <row r="139">
          <cell r="Q139" t="str">
            <v>error</v>
          </cell>
        </row>
        <row r="145">
          <cell r="Q145" t="str">
            <v>error</v>
          </cell>
        </row>
        <row r="151">
          <cell r="Q151" t="str">
            <v>error</v>
          </cell>
        </row>
        <row r="157">
          <cell r="Q157" t="str">
            <v>error</v>
          </cell>
        </row>
        <row r="163">
          <cell r="Q163" t="str">
            <v>error</v>
          </cell>
        </row>
        <row r="169">
          <cell r="Q169" t="str">
            <v>error</v>
          </cell>
        </row>
        <row r="175">
          <cell r="Q175" t="str">
            <v>error</v>
          </cell>
        </row>
        <row r="181">
          <cell r="Q181" t="str">
            <v>error</v>
          </cell>
        </row>
        <row r="187">
          <cell r="Q187" t="str">
            <v>error</v>
          </cell>
        </row>
        <row r="193">
          <cell r="Q193" t="str">
            <v>error</v>
          </cell>
        </row>
        <row r="199">
          <cell r="Q199" t="str">
            <v>error</v>
          </cell>
        </row>
        <row r="205">
          <cell r="Q205" t="str">
            <v>error</v>
          </cell>
        </row>
        <row r="211">
          <cell r="Q211" t="str">
            <v>error</v>
          </cell>
        </row>
        <row r="217">
          <cell r="Q217" t="str">
            <v>error</v>
          </cell>
        </row>
        <row r="223">
          <cell r="Q223" t="str">
            <v>error</v>
          </cell>
        </row>
        <row r="229">
          <cell r="Q229" t="str">
            <v>error</v>
          </cell>
        </row>
        <row r="235">
          <cell r="Q235" t="str">
            <v>error</v>
          </cell>
        </row>
        <row r="241">
          <cell r="Q241" t="str">
            <v>error</v>
          </cell>
        </row>
        <row r="247">
          <cell r="Q247" t="str">
            <v>error</v>
          </cell>
        </row>
        <row r="253">
          <cell r="Q253" t="str">
            <v>error</v>
          </cell>
        </row>
        <row r="259">
          <cell r="Q259" t="str">
            <v>error</v>
          </cell>
        </row>
        <row r="265">
          <cell r="Q265" t="str">
            <v>error</v>
          </cell>
        </row>
        <row r="271">
          <cell r="Q271" t="str">
            <v>error</v>
          </cell>
        </row>
        <row r="277">
          <cell r="Q277" t="str">
            <v>error</v>
          </cell>
        </row>
        <row r="283">
          <cell r="Q283" t="str">
            <v>error</v>
          </cell>
        </row>
        <row r="289">
          <cell r="Q289" t="str">
            <v>error</v>
          </cell>
        </row>
        <row r="295">
          <cell r="Q295" t="str">
            <v>error</v>
          </cell>
        </row>
        <row r="301">
          <cell r="Q301" t="str">
            <v>error</v>
          </cell>
        </row>
        <row r="307">
          <cell r="Q307" t="str">
            <v>error</v>
          </cell>
        </row>
        <row r="313">
          <cell r="Q313" t="str">
            <v>error</v>
          </cell>
        </row>
        <row r="319">
          <cell r="Q319" t="str">
            <v>error</v>
          </cell>
        </row>
        <row r="325">
          <cell r="Q325" t="str">
            <v>error</v>
          </cell>
        </row>
        <row r="331">
          <cell r="Q331" t="str">
            <v>error</v>
          </cell>
        </row>
        <row r="337">
          <cell r="Q337" t="str">
            <v>error</v>
          </cell>
        </row>
        <row r="343">
          <cell r="Q343" t="str">
            <v>error</v>
          </cell>
        </row>
        <row r="349">
          <cell r="Q349" t="str">
            <v>error</v>
          </cell>
        </row>
        <row r="355">
          <cell r="Q355" t="str">
            <v>error</v>
          </cell>
        </row>
        <row r="361">
          <cell r="Q361" t="str">
            <v>error</v>
          </cell>
        </row>
        <row r="367">
          <cell r="Q367" t="str">
            <v>error</v>
          </cell>
        </row>
        <row r="373">
          <cell r="Q373" t="str">
            <v>error</v>
          </cell>
        </row>
        <row r="379">
          <cell r="Q379" t="str">
            <v>error</v>
          </cell>
        </row>
        <row r="385">
          <cell r="Q385" t="str">
            <v>error</v>
          </cell>
        </row>
        <row r="391">
          <cell r="Q391" t="str">
            <v>error</v>
          </cell>
        </row>
        <row r="397">
          <cell r="Q397" t="str">
            <v>error</v>
          </cell>
        </row>
        <row r="403">
          <cell r="Q403" t="str">
            <v>error</v>
          </cell>
        </row>
        <row r="409">
          <cell r="Q409" t="str">
            <v>error</v>
          </cell>
        </row>
        <row r="415">
          <cell r="Q415" t="str">
            <v>error</v>
          </cell>
        </row>
        <row r="421">
          <cell r="Q421" t="str">
            <v>error</v>
          </cell>
        </row>
        <row r="427">
          <cell r="Q427" t="str">
            <v>error</v>
          </cell>
        </row>
        <row r="433">
          <cell r="Q433" t="str">
            <v>error</v>
          </cell>
        </row>
        <row r="439">
          <cell r="Q439" t="str">
            <v>error</v>
          </cell>
        </row>
        <row r="445">
          <cell r="Q445" t="str">
            <v>error</v>
          </cell>
        </row>
        <row r="451">
          <cell r="Q451" t="str">
            <v>error</v>
          </cell>
        </row>
        <row r="457">
          <cell r="Q457" t="str">
            <v>error</v>
          </cell>
        </row>
        <row r="463">
          <cell r="Q463" t="str">
            <v>error</v>
          </cell>
        </row>
        <row r="469">
          <cell r="Q469" t="str">
            <v>error</v>
          </cell>
        </row>
        <row r="475">
          <cell r="Q475" t="str">
            <v>error</v>
          </cell>
        </row>
        <row r="481">
          <cell r="Q481" t="str">
            <v>error</v>
          </cell>
        </row>
        <row r="487">
          <cell r="Q487" t="str">
            <v>error</v>
          </cell>
        </row>
        <row r="493">
          <cell r="Q493" t="str">
            <v>error</v>
          </cell>
        </row>
        <row r="499">
          <cell r="Q499" t="str">
            <v>error</v>
          </cell>
        </row>
        <row r="505">
          <cell r="Q505" t="str">
            <v>error</v>
          </cell>
        </row>
        <row r="511">
          <cell r="Q511" t="str">
            <v>error</v>
          </cell>
        </row>
        <row r="517">
          <cell r="Q517" t="str">
            <v>error</v>
          </cell>
        </row>
        <row r="523">
          <cell r="Q523" t="str">
            <v>error</v>
          </cell>
        </row>
        <row r="529">
          <cell r="Q529" t="str">
            <v>error</v>
          </cell>
        </row>
        <row r="535">
          <cell r="Q535" t="str">
            <v>error</v>
          </cell>
        </row>
        <row r="541">
          <cell r="Q541" t="str">
            <v>error</v>
          </cell>
        </row>
        <row r="547">
          <cell r="Q547" t="str">
            <v>error</v>
          </cell>
        </row>
        <row r="553">
          <cell r="Q553" t="str">
            <v>error</v>
          </cell>
        </row>
        <row r="559">
          <cell r="Q559" t="str">
            <v>error</v>
          </cell>
        </row>
        <row r="565">
          <cell r="Q565" t="str">
            <v>error</v>
          </cell>
        </row>
        <row r="571">
          <cell r="Q571" t="str">
            <v>error</v>
          </cell>
        </row>
        <row r="577">
          <cell r="Q577" t="str">
            <v>error</v>
          </cell>
        </row>
        <row r="583">
          <cell r="Q583" t="str">
            <v>error</v>
          </cell>
        </row>
        <row r="589">
          <cell r="Q589" t="str">
            <v>error</v>
          </cell>
        </row>
        <row r="595">
          <cell r="Q595" t="str">
            <v>error</v>
          </cell>
        </row>
        <row r="601">
          <cell r="Q601" t="str">
            <v>error</v>
          </cell>
        </row>
        <row r="607">
          <cell r="Q607" t="str">
            <v>error</v>
          </cell>
        </row>
        <row r="613">
          <cell r="Q613" t="str">
            <v>error</v>
          </cell>
        </row>
        <row r="619">
          <cell r="Q619" t="str">
            <v>error</v>
          </cell>
        </row>
        <row r="625">
          <cell r="Q625" t="str">
            <v>error</v>
          </cell>
        </row>
        <row r="631">
          <cell r="Q631" t="str">
            <v>error</v>
          </cell>
        </row>
        <row r="637">
          <cell r="Q637" t="str">
            <v>error</v>
          </cell>
        </row>
        <row r="643">
          <cell r="Q643" t="str">
            <v>error</v>
          </cell>
        </row>
        <row r="649">
          <cell r="Q649" t="str">
            <v>error</v>
          </cell>
        </row>
        <row r="655">
          <cell r="Q655" t="str">
            <v>error</v>
          </cell>
        </row>
        <row r="661">
          <cell r="Q661" t="str">
            <v>error</v>
          </cell>
        </row>
        <row r="667">
          <cell r="Q667" t="str">
            <v>error</v>
          </cell>
        </row>
        <row r="673">
          <cell r="Q673" t="str">
            <v>error</v>
          </cell>
        </row>
        <row r="679">
          <cell r="Q679" t="str">
            <v>error</v>
          </cell>
        </row>
        <row r="685">
          <cell r="Q685" t="str">
            <v>error</v>
          </cell>
        </row>
        <row r="691">
          <cell r="Q691" t="str">
            <v>error</v>
          </cell>
        </row>
        <row r="697">
          <cell r="Q697" t="str">
            <v>error</v>
          </cell>
        </row>
        <row r="703">
          <cell r="Q703" t="str">
            <v>error</v>
          </cell>
        </row>
        <row r="709">
          <cell r="Q709" t="str">
            <v>error</v>
          </cell>
        </row>
        <row r="715">
          <cell r="Q715" t="str">
            <v>error</v>
          </cell>
        </row>
        <row r="721">
          <cell r="Q721" t="str">
            <v>error</v>
          </cell>
        </row>
        <row r="727">
          <cell r="Q727" t="str">
            <v>error</v>
          </cell>
        </row>
        <row r="733">
          <cell r="Q733" t="str">
            <v>error</v>
          </cell>
        </row>
        <row r="739">
          <cell r="Q739" t="str">
            <v>error</v>
          </cell>
        </row>
        <row r="745">
          <cell r="Q745" t="str">
            <v>error</v>
          </cell>
        </row>
        <row r="751">
          <cell r="Q751" t="str">
            <v>error</v>
          </cell>
        </row>
        <row r="757">
          <cell r="Q757" t="str">
            <v>error</v>
          </cell>
        </row>
        <row r="763">
          <cell r="Q763" t="str">
            <v>error</v>
          </cell>
        </row>
        <row r="769">
          <cell r="Q769" t="str">
            <v>error</v>
          </cell>
        </row>
        <row r="775">
          <cell r="Q775" t="str">
            <v>error</v>
          </cell>
        </row>
        <row r="781">
          <cell r="Q781" t="str">
            <v>error</v>
          </cell>
        </row>
        <row r="787">
          <cell r="Q787" t="str">
            <v>error</v>
          </cell>
        </row>
        <row r="793">
          <cell r="Q793" t="str">
            <v>error</v>
          </cell>
        </row>
        <row r="799">
          <cell r="Q799" t="str">
            <v>error</v>
          </cell>
        </row>
        <row r="805">
          <cell r="Q805" t="str">
            <v>error</v>
          </cell>
        </row>
        <row r="811">
          <cell r="Q811" t="str">
            <v>error</v>
          </cell>
        </row>
        <row r="817">
          <cell r="Q817" t="str">
            <v>error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61EB-4B1D-4D16-9777-4E62EBB476FC}">
  <dimension ref="B1:DR832"/>
  <sheetViews>
    <sheetView tabSelected="1" workbookViewId="0">
      <selection activeCell="B1" sqref="B1:DR1048576"/>
    </sheetView>
  </sheetViews>
  <sheetFormatPr baseColWidth="10" defaultRowHeight="15" x14ac:dyDescent="0.25"/>
  <cols>
    <col min="2" max="2" width="13" style="9" customWidth="1"/>
    <col min="3" max="3" width="7" customWidth="1"/>
    <col min="4" max="6" width="7.5703125" customWidth="1"/>
    <col min="7" max="7" width="8.28515625" customWidth="1"/>
    <col min="8" max="9" width="7.5703125" customWidth="1"/>
    <col min="10" max="14" width="2" hidden="1" customWidth="1"/>
    <col min="15" max="15" width="3.28515625" style="3" hidden="1" customWidth="1"/>
    <col min="16" max="16" width="2" hidden="1" customWidth="1"/>
    <col min="17" max="17" width="5.42578125" bestFit="1" customWidth="1"/>
    <col min="18" max="18" width="5.42578125" hidden="1" customWidth="1"/>
    <col min="19" max="19" width="3.7109375" hidden="1" customWidth="1"/>
    <col min="20" max="22" width="5.5703125" hidden="1" customWidth="1"/>
    <col min="23" max="121" width="0" hidden="1" customWidth="1"/>
    <col min="122" max="122" width="11.5703125" style="42" customWidth="1"/>
  </cols>
  <sheetData>
    <row r="1" spans="2:122" ht="15.75" thickBot="1" x14ac:dyDescent="0.3">
      <c r="B1" s="1"/>
      <c r="C1" s="2"/>
      <c r="D1" s="2"/>
      <c r="E1" s="2"/>
      <c r="F1" s="2"/>
      <c r="G1" s="2"/>
      <c r="H1" s="2"/>
      <c r="I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4"/>
    </row>
    <row r="2" spans="2:122" ht="20.25" x14ac:dyDescent="0.3">
      <c r="B2" s="1"/>
      <c r="C2" s="76" t="s">
        <v>0</v>
      </c>
      <c r="D2" s="77"/>
      <c r="E2" s="77"/>
      <c r="F2" s="77"/>
      <c r="G2" s="77"/>
      <c r="H2" s="77"/>
      <c r="I2" s="7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4"/>
    </row>
    <row r="3" spans="2:122" ht="21" thickBot="1" x14ac:dyDescent="0.35">
      <c r="B3" s="1"/>
      <c r="C3" s="79" t="s">
        <v>1</v>
      </c>
      <c r="D3" s="80"/>
      <c r="E3" s="80"/>
      <c r="F3" s="80"/>
      <c r="G3" s="80"/>
      <c r="H3" s="80"/>
      <c r="I3" s="8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4"/>
    </row>
    <row r="4" spans="2:122" ht="15.75" thickBot="1" x14ac:dyDescent="0.3">
      <c r="B4" s="1"/>
      <c r="C4" s="2"/>
      <c r="D4" s="2"/>
      <c r="E4" s="2"/>
      <c r="F4" s="2"/>
      <c r="G4" s="2"/>
      <c r="H4" s="2"/>
      <c r="I4" s="2"/>
      <c r="Q4" s="2"/>
      <c r="R4" s="5" t="s">
        <v>2</v>
      </c>
      <c r="S4" s="5" t="s">
        <v>3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4"/>
    </row>
    <row r="5" spans="2:122" ht="15.75" thickBot="1" x14ac:dyDescent="0.3">
      <c r="B5" s="1"/>
      <c r="C5" s="64" t="s">
        <v>4</v>
      </c>
      <c r="D5" s="65"/>
      <c r="E5" s="82"/>
      <c r="F5" s="83"/>
      <c r="G5" s="83"/>
      <c r="H5" s="83"/>
      <c r="I5" s="84"/>
      <c r="K5" s="6" t="s">
        <v>5</v>
      </c>
      <c r="L5" s="7"/>
      <c r="M5" s="7"/>
      <c r="N5" s="8"/>
      <c r="Q5" s="2"/>
      <c r="R5" s="2" t="e">
        <f>+O61+O97+O133+O169+O205+O241+O505+O529+O577+O631+O703+O787</f>
        <v>#VALUE!</v>
      </c>
      <c r="S5" s="2"/>
      <c r="T5" s="2" t="s">
        <v>6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4"/>
    </row>
    <row r="6" spans="2:122" ht="15.75" thickBot="1" x14ac:dyDescent="0.3">
      <c r="B6" s="1"/>
      <c r="C6" s="64" t="s">
        <v>7</v>
      </c>
      <c r="D6" s="65"/>
      <c r="E6" s="82"/>
      <c r="F6" s="83"/>
      <c r="G6" s="83"/>
      <c r="H6" s="83"/>
      <c r="I6" s="84"/>
      <c r="K6" s="9" t="s">
        <v>8</v>
      </c>
      <c r="N6" s="10">
        <v>1</v>
      </c>
      <c r="Q6" s="2"/>
      <c r="R6" s="2" t="e">
        <f>+O67+O247+O331+O493+O619+O751</f>
        <v>#VALUE!</v>
      </c>
      <c r="S6" s="2" t="e">
        <f>+O31+O175+O343+O433+O589+O709</f>
        <v>#VALUE!</v>
      </c>
      <c r="T6" s="2" t="s">
        <v>9</v>
      </c>
      <c r="U6" s="2" t="e">
        <f>36-R6+S6</f>
        <v>#VALUE!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4"/>
    </row>
    <row r="7" spans="2:122" ht="15.75" thickBot="1" x14ac:dyDescent="0.3">
      <c r="B7" s="1"/>
      <c r="C7" s="64" t="s">
        <v>10</v>
      </c>
      <c r="D7" s="65"/>
      <c r="E7" s="66">
        <f ca="1">TODAY()</f>
        <v>46224</v>
      </c>
      <c r="F7" s="67"/>
      <c r="G7" s="11" t="s">
        <v>11</v>
      </c>
      <c r="H7" s="68"/>
      <c r="I7" s="69"/>
      <c r="K7" s="9" t="s">
        <v>12</v>
      </c>
      <c r="N7" s="12">
        <f>IF(N6=1,N8,N6)</f>
        <v>1</v>
      </c>
      <c r="Q7" s="2"/>
      <c r="R7" s="2" t="e">
        <f>+O139+O211+O391+O451+O595+O763</f>
        <v>#VALUE!</v>
      </c>
      <c r="S7" s="2" t="e">
        <f>+O103+O259+O367+O463+O637+O727</f>
        <v>#VALUE!</v>
      </c>
      <c r="T7" s="2" t="s">
        <v>13</v>
      </c>
      <c r="U7" s="2" t="e">
        <f t="shared" ref="U7:U15" si="0">36-R7+S7</f>
        <v>#VALUE!</v>
      </c>
      <c r="V7" s="2" t="e">
        <f>+U6+U7</f>
        <v>#VALUE!</v>
      </c>
      <c r="W7" s="2" t="s">
        <v>14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4"/>
    </row>
    <row r="8" spans="2:122" ht="15.75" thickBot="1" x14ac:dyDescent="0.3">
      <c r="B8" s="1"/>
      <c r="C8" s="64" t="s">
        <v>15</v>
      </c>
      <c r="D8" s="70"/>
      <c r="E8" s="13"/>
      <c r="F8" s="14"/>
      <c r="G8" s="15" t="s">
        <v>16</v>
      </c>
      <c r="H8" s="71"/>
      <c r="I8" s="72"/>
      <c r="K8" s="16" t="s">
        <v>17</v>
      </c>
      <c r="L8" s="17"/>
      <c r="M8" s="17"/>
      <c r="N8" s="18">
        <v>1</v>
      </c>
      <c r="Q8" s="2"/>
      <c r="R8" s="2" t="e">
        <f>+O49+O193+O421+O445+O625+O805</f>
        <v>#VALUE!</v>
      </c>
      <c r="S8" s="2" t="e">
        <f>+O85+O229+O313+O541+O679+O691</f>
        <v>#VALUE!</v>
      </c>
      <c r="T8" s="2" t="s">
        <v>18</v>
      </c>
      <c r="U8" s="2" t="e">
        <f t="shared" si="0"/>
        <v>#VALUE!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4"/>
    </row>
    <row r="9" spans="2:122" ht="15.75" thickBot="1" x14ac:dyDescent="0.3">
      <c r="B9" s="1"/>
      <c r="C9" s="2"/>
      <c r="D9" s="2"/>
      <c r="E9" s="2"/>
      <c r="F9" s="2"/>
      <c r="G9" s="19"/>
      <c r="H9" s="19"/>
      <c r="I9" s="2"/>
      <c r="J9" s="2"/>
      <c r="K9" s="2"/>
      <c r="L9" s="2"/>
      <c r="M9" s="2"/>
      <c r="N9" s="2"/>
      <c r="O9" s="2"/>
      <c r="P9" s="2"/>
      <c r="Q9" s="2"/>
      <c r="R9" s="2" t="e">
        <f>+O121+O265+O415+O469+O673+O793</f>
        <v>#VALUE!</v>
      </c>
      <c r="S9" s="2" t="e">
        <f>+O157+O289+O337+O553+O583+O781</f>
        <v>#VALUE!</v>
      </c>
      <c r="T9" s="2" t="s">
        <v>19</v>
      </c>
      <c r="U9" s="2" t="e">
        <f t="shared" si="0"/>
        <v>#VALUE!</v>
      </c>
      <c r="V9" s="2" t="e">
        <f>+U8+U9</f>
        <v>#VALUE!</v>
      </c>
      <c r="W9" s="2" t="s">
        <v>20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4"/>
    </row>
    <row r="10" spans="2:122" x14ac:dyDescent="0.25">
      <c r="B10" s="1"/>
      <c r="C10" s="73" t="s">
        <v>21</v>
      </c>
      <c r="D10" s="74"/>
      <c r="E10" s="74"/>
      <c r="F10" s="74"/>
      <c r="G10" s="74"/>
      <c r="H10" s="74"/>
      <c r="I10" s="75"/>
      <c r="Q10" s="2"/>
      <c r="R10" s="2" t="e">
        <f>+O37+O217+O421+O517+O685+O817</f>
        <v>#VALUE!</v>
      </c>
      <c r="S10" s="2" t="e">
        <f>+O73+O181+O367+O499+O661+O799</f>
        <v>#VALUE!</v>
      </c>
      <c r="T10" s="2" t="s">
        <v>22</v>
      </c>
      <c r="U10" s="2" t="e">
        <f t="shared" si="0"/>
        <v>#VALUE!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4"/>
    </row>
    <row r="11" spans="2:122" x14ac:dyDescent="0.25">
      <c r="B11" s="1"/>
      <c r="C11" s="22"/>
      <c r="D11" s="2"/>
      <c r="E11" s="2"/>
      <c r="F11" s="2"/>
      <c r="G11" s="2"/>
      <c r="H11" s="2"/>
      <c r="I11" s="23"/>
      <c r="Q11" s="2"/>
      <c r="R11" s="2" t="e">
        <f>+O109+O253+O349+O535+O667+O775</f>
        <v>#VALUE!</v>
      </c>
      <c r="S11" s="2" t="e">
        <f>+O145+O301+O319+O475+O601+O715</f>
        <v>#VALUE!</v>
      </c>
      <c r="T11" s="2" t="s">
        <v>23</v>
      </c>
      <c r="U11" s="2" t="e">
        <f t="shared" si="0"/>
        <v>#VALUE!</v>
      </c>
      <c r="V11" s="2" t="e">
        <f>+U10+U11</f>
        <v>#VALUE!</v>
      </c>
      <c r="W11" s="2" t="s">
        <v>24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4"/>
    </row>
    <row r="12" spans="2:122" x14ac:dyDescent="0.25">
      <c r="B12" s="1"/>
      <c r="C12" s="58" t="s">
        <v>25</v>
      </c>
      <c r="D12" s="59"/>
      <c r="E12" s="59"/>
      <c r="F12" s="59"/>
      <c r="G12" s="59"/>
      <c r="H12" s="59"/>
      <c r="I12" s="60"/>
      <c r="Q12" s="2"/>
      <c r="R12" s="2" t="e">
        <f>+O43+O223+O397+O439+O613+O745</f>
        <v>#VALUE!</v>
      </c>
      <c r="S12" s="2" t="e">
        <f>+O79+O187+O325+O511+O559+O757</f>
        <v>#VALUE!</v>
      </c>
      <c r="T12" s="2" t="s">
        <v>26</v>
      </c>
      <c r="U12" s="2" t="e">
        <f t="shared" si="0"/>
        <v>#VALUE!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4"/>
    </row>
    <row r="13" spans="2:122" x14ac:dyDescent="0.25">
      <c r="B13" s="1"/>
      <c r="C13" s="22"/>
      <c r="D13" s="2"/>
      <c r="E13" s="2"/>
      <c r="F13" s="2"/>
      <c r="G13" s="2"/>
      <c r="H13" s="2"/>
      <c r="I13" s="23"/>
      <c r="Q13" s="2"/>
      <c r="R13" s="2" t="e">
        <f>+O115+O295+O403+O523+O649+O721</f>
        <v>#VALUE!</v>
      </c>
      <c r="S13" s="2" t="e">
        <f>+O151+O283+O373+O481+O571+O739</f>
        <v>#VALUE!</v>
      </c>
      <c r="T13" s="2" t="s">
        <v>27</v>
      </c>
      <c r="U13" s="2" t="e">
        <f t="shared" si="0"/>
        <v>#VALUE!</v>
      </c>
      <c r="V13" s="2" t="e">
        <f>+U12+U13</f>
        <v>#VALUE!</v>
      </c>
      <c r="W13" s="2" t="s">
        <v>28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4"/>
    </row>
    <row r="14" spans="2:122" x14ac:dyDescent="0.25">
      <c r="B14" s="1"/>
      <c r="C14" s="61" t="s">
        <v>29</v>
      </c>
      <c r="D14" s="62"/>
      <c r="E14" s="62"/>
      <c r="F14" s="62"/>
      <c r="G14" s="62"/>
      <c r="H14" s="62"/>
      <c r="I14" s="63"/>
      <c r="Q14" s="2"/>
      <c r="R14" s="2" t="e">
        <f>+O91+O277+O355+O487+O565+O769</f>
        <v>#VALUE!</v>
      </c>
      <c r="S14" s="2" t="e">
        <f>+O55+O199+O385+O547+O655+O697</f>
        <v>#VALUE!</v>
      </c>
      <c r="T14" s="2" t="s">
        <v>30</v>
      </c>
      <c r="U14" s="2" t="e">
        <f t="shared" si="0"/>
        <v>#VALUE!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4"/>
    </row>
    <row r="15" spans="2:122" x14ac:dyDescent="0.25">
      <c r="B15" s="1"/>
      <c r="C15" s="24"/>
      <c r="D15" s="25"/>
      <c r="E15" s="25"/>
      <c r="I15" s="26"/>
      <c r="Q15" s="2"/>
      <c r="R15" s="2" t="e">
        <f>+O127+O235+O307+O427+O643+O811</f>
        <v>#VALUE!</v>
      </c>
      <c r="S15" s="2" t="e">
        <f>+O163+O271+O361+O457+O607+O733</f>
        <v>#VALUE!</v>
      </c>
      <c r="T15" s="2" t="s">
        <v>31</v>
      </c>
      <c r="U15" s="2" t="e">
        <f t="shared" si="0"/>
        <v>#VALUE!</v>
      </c>
      <c r="V15" s="2" t="e">
        <f>+U14+U15</f>
        <v>#VALUE!</v>
      </c>
      <c r="W15" s="2" t="s">
        <v>32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4"/>
    </row>
    <row r="16" spans="2:122" x14ac:dyDescent="0.25">
      <c r="B16" s="1"/>
      <c r="C16" s="49" t="s">
        <v>33</v>
      </c>
      <c r="D16" s="50"/>
      <c r="E16" s="50"/>
      <c r="F16" s="50"/>
      <c r="G16" s="50"/>
      <c r="H16" s="50"/>
      <c r="I16" s="5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4"/>
    </row>
    <row r="17" spans="2:122" x14ac:dyDescent="0.25">
      <c r="B17" s="1"/>
      <c r="C17" s="49" t="s">
        <v>34</v>
      </c>
      <c r="D17" s="50"/>
      <c r="E17" s="50"/>
      <c r="F17" s="50"/>
      <c r="G17" s="50"/>
      <c r="H17" s="50"/>
      <c r="I17" s="5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4"/>
    </row>
    <row r="18" spans="2:122" x14ac:dyDescent="0.25">
      <c r="B18" s="1"/>
      <c r="C18" s="49" t="s">
        <v>35</v>
      </c>
      <c r="D18" s="50"/>
      <c r="E18" s="50"/>
      <c r="F18" s="50"/>
      <c r="G18" s="50"/>
      <c r="H18" s="50"/>
      <c r="I18" s="5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4"/>
    </row>
    <row r="19" spans="2:122" x14ac:dyDescent="0.25">
      <c r="B19" s="1"/>
      <c r="C19" s="49" t="s">
        <v>36</v>
      </c>
      <c r="D19" s="50"/>
      <c r="E19" s="50"/>
      <c r="F19" s="50"/>
      <c r="G19" s="50"/>
      <c r="H19" s="50"/>
      <c r="I19" s="5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4"/>
    </row>
    <row r="20" spans="2:122" x14ac:dyDescent="0.25">
      <c r="B20" s="1"/>
      <c r="C20" s="49" t="s">
        <v>37</v>
      </c>
      <c r="D20" s="50"/>
      <c r="E20" s="50"/>
      <c r="F20" s="50"/>
      <c r="G20" s="50"/>
      <c r="H20" s="50"/>
      <c r="I20" s="5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4"/>
    </row>
    <row r="21" spans="2:122" x14ac:dyDescent="0.25">
      <c r="B21" s="1"/>
      <c r="C21" s="22"/>
      <c r="D21" s="2"/>
      <c r="E21" s="2"/>
      <c r="F21" s="2"/>
      <c r="G21" s="2"/>
      <c r="H21" s="2"/>
      <c r="I21" s="2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4"/>
    </row>
    <row r="22" spans="2:122" x14ac:dyDescent="0.25">
      <c r="B22" s="1"/>
      <c r="C22" s="52" t="s">
        <v>38</v>
      </c>
      <c r="D22" s="53"/>
      <c r="E22" s="53"/>
      <c r="F22" s="53"/>
      <c r="G22" s="53"/>
      <c r="H22" s="53"/>
      <c r="I22" s="5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4"/>
    </row>
    <row r="23" spans="2:122" ht="15.75" thickBot="1" x14ac:dyDescent="0.3">
      <c r="B23" s="1"/>
      <c r="C23" s="27"/>
      <c r="D23" s="28"/>
      <c r="E23" s="28"/>
      <c r="F23" s="28"/>
      <c r="G23" s="28"/>
      <c r="H23" s="28"/>
      <c r="I23" s="29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4"/>
    </row>
    <row r="24" spans="2:122" x14ac:dyDescent="0.25">
      <c r="B24" s="1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4"/>
    </row>
    <row r="25" spans="2:122" ht="15.75" thickBot="1" x14ac:dyDescent="0.3">
      <c r="B25" s="1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4"/>
    </row>
    <row r="26" spans="2:122" ht="15.75" thickBot="1" x14ac:dyDescent="0.3">
      <c r="B26" s="1"/>
      <c r="C26" s="55" t="s">
        <v>39</v>
      </c>
      <c r="D26" s="56"/>
      <c r="E26" s="56"/>
      <c r="F26" s="56"/>
      <c r="G26" s="56"/>
      <c r="H26" s="56"/>
      <c r="I26" s="5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4"/>
    </row>
    <row r="27" spans="2:122" ht="15.75" thickBot="1" x14ac:dyDescent="0.3">
      <c r="B27" s="1"/>
      <c r="C27" s="5"/>
      <c r="D27" s="5"/>
      <c r="E27" s="5"/>
      <c r="F27" s="5"/>
      <c r="G27" s="5"/>
      <c r="H27" s="5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4"/>
    </row>
    <row r="28" spans="2:122" x14ac:dyDescent="0.25">
      <c r="B28" s="1"/>
      <c r="C28" s="31" t="s">
        <v>40</v>
      </c>
      <c r="D28" s="43" t="s">
        <v>41</v>
      </c>
      <c r="E28" s="44"/>
      <c r="F28" s="44"/>
      <c r="G28" s="44"/>
      <c r="H28" s="44"/>
      <c r="I28" s="45"/>
      <c r="J28" s="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4"/>
    </row>
    <row r="29" spans="2:122" x14ac:dyDescent="0.25">
      <c r="B29" s="1"/>
      <c r="C29" s="33"/>
      <c r="D29" s="34"/>
      <c r="E29" s="34"/>
      <c r="F29" s="34"/>
      <c r="G29" s="34"/>
      <c r="H29" s="34"/>
      <c r="I29" s="3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4"/>
    </row>
    <row r="30" spans="2:122" ht="26.25" x14ac:dyDescent="0.25">
      <c r="B30" s="1"/>
      <c r="C30" s="33"/>
      <c r="D30" s="36" t="s">
        <v>42</v>
      </c>
      <c r="E30" s="36" t="s">
        <v>43</v>
      </c>
      <c r="F30" s="36" t="s">
        <v>44</v>
      </c>
      <c r="G30" s="36" t="s">
        <v>45</v>
      </c>
      <c r="H30" s="36" t="s">
        <v>46</v>
      </c>
      <c r="I30" s="3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4"/>
    </row>
    <row r="31" spans="2:122" x14ac:dyDescent="0.25">
      <c r="B31" s="1"/>
      <c r="C31" s="33"/>
      <c r="D31" s="37"/>
      <c r="E31" s="37"/>
      <c r="F31" s="37"/>
      <c r="G31" s="37"/>
      <c r="H31" s="37"/>
      <c r="I31" s="35"/>
      <c r="J31">
        <f>IF(D31="x",5,0)</f>
        <v>0</v>
      </c>
      <c r="K31">
        <f>IF(E31="x",4,0)</f>
        <v>0</v>
      </c>
      <c r="L31">
        <f>IF(F31="x",3,0)</f>
        <v>0</v>
      </c>
      <c r="M31">
        <f>IF(G31="x",2,0)</f>
        <v>0</v>
      </c>
      <c r="N31">
        <f>IF(H31="x",1,0)</f>
        <v>0</v>
      </c>
      <c r="O31" s="3" t="str">
        <f>IF(Q31="",SUM(J31:N31),"falso")</f>
        <v>falso</v>
      </c>
      <c r="P31">
        <f>COUNTIF(D31:H31,"x")</f>
        <v>0</v>
      </c>
      <c r="Q31" s="38" t="str">
        <f>IF(P31&lt;1,"error",IF(P31&gt;1,"error",""))</f>
        <v>error</v>
      </c>
      <c r="R31" s="38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4"/>
    </row>
    <row r="32" spans="2:122" ht="15.75" thickBot="1" x14ac:dyDescent="0.3">
      <c r="B32" s="1"/>
      <c r="C32" s="39"/>
      <c r="D32" s="40">
        <v>5</v>
      </c>
      <c r="E32" s="40">
        <v>4</v>
      </c>
      <c r="F32" s="40">
        <v>3</v>
      </c>
      <c r="G32" s="40">
        <v>2</v>
      </c>
      <c r="H32" s="40">
        <v>1</v>
      </c>
      <c r="I32" s="4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4"/>
    </row>
    <row r="33" spans="2:122" ht="15.75" thickBot="1" x14ac:dyDescent="0.3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4"/>
    </row>
    <row r="34" spans="2:122" x14ac:dyDescent="0.25">
      <c r="B34" s="1"/>
      <c r="C34" s="31" t="s">
        <v>47</v>
      </c>
      <c r="D34" s="43" t="s">
        <v>48</v>
      </c>
      <c r="E34" s="44"/>
      <c r="F34" s="44"/>
      <c r="G34" s="44"/>
      <c r="H34" s="44"/>
      <c r="I34" s="45"/>
      <c r="J34" s="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4"/>
    </row>
    <row r="35" spans="2:122" x14ac:dyDescent="0.25">
      <c r="B35" s="1"/>
      <c r="C35" s="33"/>
      <c r="D35" s="34"/>
      <c r="E35" s="34"/>
      <c r="F35" s="34"/>
      <c r="G35" s="34"/>
      <c r="H35" s="34"/>
      <c r="I35" s="35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4"/>
    </row>
    <row r="36" spans="2:122" ht="26.25" x14ac:dyDescent="0.25">
      <c r="B36" s="1"/>
      <c r="C36" s="33"/>
      <c r="D36" s="36" t="s">
        <v>42</v>
      </c>
      <c r="E36" s="36" t="s">
        <v>43</v>
      </c>
      <c r="F36" s="36" t="s">
        <v>44</v>
      </c>
      <c r="G36" s="36" t="s">
        <v>45</v>
      </c>
      <c r="H36" s="36" t="s">
        <v>46</v>
      </c>
      <c r="I36" s="35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4"/>
    </row>
    <row r="37" spans="2:122" x14ac:dyDescent="0.25">
      <c r="B37" s="1"/>
      <c r="C37" s="33"/>
      <c r="D37" s="37"/>
      <c r="E37" s="37"/>
      <c r="F37" s="37"/>
      <c r="G37" s="37"/>
      <c r="H37" s="37"/>
      <c r="I37" s="35"/>
      <c r="J37">
        <f>IF(D37="x",5,0)</f>
        <v>0</v>
      </c>
      <c r="K37">
        <f>IF(E37="x",4,0)</f>
        <v>0</v>
      </c>
      <c r="L37">
        <f>IF(F37="x",3,0)</f>
        <v>0</v>
      </c>
      <c r="M37">
        <f>IF(G37="x",2,0)</f>
        <v>0</v>
      </c>
      <c r="N37">
        <f>IF(H37="x",1,0)</f>
        <v>0</v>
      </c>
      <c r="O37" s="3" t="str">
        <f>IF(Q37="",SUM(J37:N37),"falso")</f>
        <v>falso</v>
      </c>
      <c r="P37">
        <f>COUNTIF(D37:H37,"x")</f>
        <v>0</v>
      </c>
      <c r="Q37" s="38" t="str">
        <f>IF(P37&lt;1,"error",IF(P37&gt;1,"error",""))</f>
        <v>error</v>
      </c>
      <c r="R37" s="38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4"/>
    </row>
    <row r="38" spans="2:122" ht="15.75" thickBot="1" x14ac:dyDescent="0.3">
      <c r="B38" s="1"/>
      <c r="C38" s="39"/>
      <c r="D38" s="40">
        <v>5</v>
      </c>
      <c r="E38" s="40">
        <v>4</v>
      </c>
      <c r="F38" s="40">
        <v>3</v>
      </c>
      <c r="G38" s="40">
        <v>2</v>
      </c>
      <c r="H38" s="40">
        <v>1</v>
      </c>
      <c r="I38" s="4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4"/>
    </row>
    <row r="39" spans="2:122" ht="15.75" thickBot="1" x14ac:dyDescent="0.3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4"/>
    </row>
    <row r="40" spans="2:122" x14ac:dyDescent="0.25">
      <c r="B40" s="1"/>
      <c r="C40" s="31" t="s">
        <v>49</v>
      </c>
      <c r="D40" s="43" t="s">
        <v>50</v>
      </c>
      <c r="E40" s="44"/>
      <c r="F40" s="44"/>
      <c r="G40" s="44"/>
      <c r="H40" s="44"/>
      <c r="I40" s="45"/>
      <c r="J40" s="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4"/>
    </row>
    <row r="41" spans="2:122" x14ac:dyDescent="0.25">
      <c r="B41" s="1"/>
      <c r="C41" s="33"/>
      <c r="D41" s="34"/>
      <c r="E41" s="34"/>
      <c r="F41" s="34"/>
      <c r="G41" s="34"/>
      <c r="H41" s="34"/>
      <c r="I41" s="3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4"/>
    </row>
    <row r="42" spans="2:122" ht="26.25" x14ac:dyDescent="0.25">
      <c r="B42" s="1"/>
      <c r="C42" s="33"/>
      <c r="D42" s="36" t="s">
        <v>42</v>
      </c>
      <c r="E42" s="36" t="s">
        <v>43</v>
      </c>
      <c r="F42" s="36" t="s">
        <v>44</v>
      </c>
      <c r="G42" s="36" t="s">
        <v>45</v>
      </c>
      <c r="H42" s="36" t="s">
        <v>46</v>
      </c>
      <c r="I42" s="3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4"/>
    </row>
    <row r="43" spans="2:122" x14ac:dyDescent="0.25">
      <c r="B43" s="1"/>
      <c r="C43" s="33"/>
      <c r="D43" s="37"/>
      <c r="E43" s="37"/>
      <c r="F43" s="37"/>
      <c r="G43" s="37"/>
      <c r="H43" s="37"/>
      <c r="I43" s="35"/>
      <c r="J43">
        <f>IF(D43="x",5,0)</f>
        <v>0</v>
      </c>
      <c r="K43">
        <f>IF(E43="x",4,0)</f>
        <v>0</v>
      </c>
      <c r="L43">
        <f>IF(F43="x",3,0)</f>
        <v>0</v>
      </c>
      <c r="M43">
        <f>IF(G43="x",2,0)</f>
        <v>0</v>
      </c>
      <c r="N43">
        <f>IF(H43="x",1,0)</f>
        <v>0</v>
      </c>
      <c r="O43" s="3" t="str">
        <f>IF(Q43="",SUM(J43:N43),"falso")</f>
        <v>falso</v>
      </c>
      <c r="P43">
        <f>COUNTIF(D43:H43,"x")</f>
        <v>0</v>
      </c>
      <c r="Q43" s="38" t="str">
        <f>IF(P43&lt;1,"error",IF(P43&gt;1,"error",""))</f>
        <v>error</v>
      </c>
      <c r="R43" s="38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4"/>
    </row>
    <row r="44" spans="2:122" ht="15.75" thickBot="1" x14ac:dyDescent="0.3">
      <c r="B44" s="1"/>
      <c r="C44" s="39"/>
      <c r="D44" s="40">
        <v>5</v>
      </c>
      <c r="E44" s="40">
        <v>4</v>
      </c>
      <c r="F44" s="40">
        <v>3</v>
      </c>
      <c r="G44" s="40">
        <v>2</v>
      </c>
      <c r="H44" s="40">
        <v>1</v>
      </c>
      <c r="I44" s="4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4"/>
    </row>
    <row r="45" spans="2:122" ht="15.75" thickBot="1" x14ac:dyDescent="0.3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4"/>
    </row>
    <row r="46" spans="2:122" x14ac:dyDescent="0.25">
      <c r="B46" s="1"/>
      <c r="C46" s="31" t="s">
        <v>51</v>
      </c>
      <c r="D46" s="43" t="s">
        <v>52</v>
      </c>
      <c r="E46" s="47"/>
      <c r="F46" s="47"/>
      <c r="G46" s="47"/>
      <c r="H46" s="47"/>
      <c r="I46" s="48"/>
      <c r="J46" s="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4"/>
    </row>
    <row r="47" spans="2:122" x14ac:dyDescent="0.25">
      <c r="B47" s="1"/>
      <c r="C47" s="33"/>
      <c r="D47" s="34"/>
      <c r="E47" s="34"/>
      <c r="F47" s="34"/>
      <c r="G47" s="34"/>
      <c r="H47" s="34"/>
      <c r="I47" s="35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4"/>
    </row>
    <row r="48" spans="2:122" ht="26.25" x14ac:dyDescent="0.25">
      <c r="B48" s="1"/>
      <c r="C48" s="33"/>
      <c r="D48" s="36" t="s">
        <v>42</v>
      </c>
      <c r="E48" s="36" t="s">
        <v>43</v>
      </c>
      <c r="F48" s="36" t="s">
        <v>44</v>
      </c>
      <c r="G48" s="36" t="s">
        <v>45</v>
      </c>
      <c r="H48" s="36" t="s">
        <v>46</v>
      </c>
      <c r="I48" s="35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4"/>
    </row>
    <row r="49" spans="2:122" x14ac:dyDescent="0.25">
      <c r="B49" s="1"/>
      <c r="C49" s="33"/>
      <c r="D49" s="37"/>
      <c r="E49" s="37"/>
      <c r="F49" s="37"/>
      <c r="G49" s="37"/>
      <c r="H49" s="37"/>
      <c r="I49" s="35"/>
      <c r="J49">
        <f>IF(D49="x",5,0)</f>
        <v>0</v>
      </c>
      <c r="K49">
        <f>IF(E49="x",4,0)</f>
        <v>0</v>
      </c>
      <c r="L49">
        <f>IF(F49="x",3,0)</f>
        <v>0</v>
      </c>
      <c r="M49">
        <f>IF(G49="x",2,0)</f>
        <v>0</v>
      </c>
      <c r="N49">
        <f>IF(H49="x",1,0)</f>
        <v>0</v>
      </c>
      <c r="O49" s="3" t="str">
        <f>IF(Q49="",SUM(J49:N49),"falso")</f>
        <v>falso</v>
      </c>
      <c r="P49">
        <f>COUNTIF(D49:H49,"x")</f>
        <v>0</v>
      </c>
      <c r="Q49" s="38" t="str">
        <f>IF(P49&lt;1,"error",IF(P49&gt;1,"error",""))</f>
        <v>error</v>
      </c>
      <c r="R49" s="3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4"/>
    </row>
    <row r="50" spans="2:122" ht="15.75" thickBot="1" x14ac:dyDescent="0.3">
      <c r="B50" s="1"/>
      <c r="C50" s="39"/>
      <c r="D50" s="40">
        <v>5</v>
      </c>
      <c r="E50" s="40">
        <v>4</v>
      </c>
      <c r="F50" s="40">
        <v>3</v>
      </c>
      <c r="G50" s="40">
        <v>2</v>
      </c>
      <c r="H50" s="40">
        <v>1</v>
      </c>
      <c r="I50" s="4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4"/>
    </row>
    <row r="51" spans="2:122" ht="15.75" thickBot="1" x14ac:dyDescent="0.3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4"/>
    </row>
    <row r="52" spans="2:122" x14ac:dyDescent="0.25">
      <c r="B52" s="1"/>
      <c r="C52" s="31" t="s">
        <v>53</v>
      </c>
      <c r="D52" s="43" t="s">
        <v>54</v>
      </c>
      <c r="E52" s="44"/>
      <c r="F52" s="44"/>
      <c r="G52" s="44"/>
      <c r="H52" s="44"/>
      <c r="I52" s="45"/>
      <c r="J52" s="3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4"/>
    </row>
    <row r="53" spans="2:122" x14ac:dyDescent="0.25">
      <c r="B53" s="1"/>
      <c r="C53" s="33"/>
      <c r="D53" s="34"/>
      <c r="E53" s="34"/>
      <c r="F53" s="34"/>
      <c r="G53" s="34"/>
      <c r="H53" s="34"/>
      <c r="I53" s="35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4"/>
    </row>
    <row r="54" spans="2:122" ht="26.25" x14ac:dyDescent="0.25">
      <c r="B54" s="1"/>
      <c r="C54" s="33"/>
      <c r="D54" s="36" t="s">
        <v>42</v>
      </c>
      <c r="E54" s="36" t="s">
        <v>43</v>
      </c>
      <c r="F54" s="36" t="s">
        <v>44</v>
      </c>
      <c r="G54" s="36" t="s">
        <v>45</v>
      </c>
      <c r="H54" s="36" t="s">
        <v>46</v>
      </c>
      <c r="I54" s="35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4"/>
    </row>
    <row r="55" spans="2:122" x14ac:dyDescent="0.25">
      <c r="B55" s="1"/>
      <c r="C55" s="33"/>
      <c r="D55" s="37"/>
      <c r="E55" s="37"/>
      <c r="F55" s="37"/>
      <c r="G55" s="37"/>
      <c r="H55" s="37"/>
      <c r="I55" s="35"/>
      <c r="J55">
        <f>IF(D55="x",5,0)</f>
        <v>0</v>
      </c>
      <c r="K55">
        <f>IF(E55="x",4,0)</f>
        <v>0</v>
      </c>
      <c r="L55">
        <f>IF(F55="x",3,0)</f>
        <v>0</v>
      </c>
      <c r="M55">
        <f>IF(G55="x",2,0)</f>
        <v>0</v>
      </c>
      <c r="N55">
        <f>IF(H55="x",1,0)</f>
        <v>0</v>
      </c>
      <c r="O55" s="3" t="str">
        <f>IF(Q55="",SUM(J55:N55),"falso")</f>
        <v>falso</v>
      </c>
      <c r="P55">
        <f>COUNTIF(D55:H55,"x")</f>
        <v>0</v>
      </c>
      <c r="Q55" s="38" t="str">
        <f>IF(P55&lt;1,"error",IF(P55&gt;1,"error",""))</f>
        <v>error</v>
      </c>
      <c r="R55" s="3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4"/>
    </row>
    <row r="56" spans="2:122" ht="15.75" thickBot="1" x14ac:dyDescent="0.3">
      <c r="B56" s="1"/>
      <c r="C56" s="39"/>
      <c r="D56" s="40">
        <v>5</v>
      </c>
      <c r="E56" s="40">
        <v>4</v>
      </c>
      <c r="F56" s="40">
        <v>3</v>
      </c>
      <c r="G56" s="40">
        <v>2</v>
      </c>
      <c r="H56" s="40">
        <v>1</v>
      </c>
      <c r="I56" s="4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4"/>
    </row>
    <row r="57" spans="2:122" ht="15.75" thickBot="1" x14ac:dyDescent="0.3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4"/>
    </row>
    <row r="58" spans="2:122" x14ac:dyDescent="0.25">
      <c r="B58" s="1"/>
      <c r="C58" s="31" t="s">
        <v>55</v>
      </c>
      <c r="D58" s="43" t="s">
        <v>56</v>
      </c>
      <c r="E58" s="44"/>
      <c r="F58" s="44"/>
      <c r="G58" s="44"/>
      <c r="H58" s="44"/>
      <c r="I58" s="45"/>
      <c r="J58" s="3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4"/>
    </row>
    <row r="59" spans="2:122" x14ac:dyDescent="0.25">
      <c r="B59" s="1"/>
      <c r="C59" s="33"/>
      <c r="D59" s="34"/>
      <c r="E59" s="34"/>
      <c r="F59" s="34"/>
      <c r="G59" s="34"/>
      <c r="H59" s="34"/>
      <c r="I59" s="3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4"/>
    </row>
    <row r="60" spans="2:122" ht="26.25" x14ac:dyDescent="0.25">
      <c r="B60" s="1"/>
      <c r="C60" s="33"/>
      <c r="D60" s="36" t="s">
        <v>42</v>
      </c>
      <c r="E60" s="36" t="s">
        <v>43</v>
      </c>
      <c r="F60" s="36" t="s">
        <v>44</v>
      </c>
      <c r="G60" s="36" t="s">
        <v>45</v>
      </c>
      <c r="H60" s="36" t="s">
        <v>46</v>
      </c>
      <c r="I60" s="3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4"/>
    </row>
    <row r="61" spans="2:122" x14ac:dyDescent="0.25">
      <c r="B61" s="1"/>
      <c r="C61" s="33"/>
      <c r="D61" s="37"/>
      <c r="E61" s="37"/>
      <c r="F61" s="37"/>
      <c r="G61" s="37"/>
      <c r="H61" s="37"/>
      <c r="I61" s="35"/>
      <c r="J61">
        <f>IF(D61="x",5,0)</f>
        <v>0</v>
      </c>
      <c r="K61">
        <f>IF(E61="x",4,0)</f>
        <v>0</v>
      </c>
      <c r="L61">
        <f>IF(F61="x",3,0)</f>
        <v>0</v>
      </c>
      <c r="M61">
        <f>IF(G61="x",2,0)</f>
        <v>0</v>
      </c>
      <c r="N61">
        <f>IF(H61="x",1,0)</f>
        <v>0</v>
      </c>
      <c r="O61" s="3" t="str">
        <f>IF(Q61="",SUM(J61:N61),"falso")</f>
        <v>falso</v>
      </c>
      <c r="P61">
        <f>COUNTIF(D61:H61,"x")</f>
        <v>0</v>
      </c>
      <c r="Q61" s="38" t="str">
        <f>IF(P61&lt;1,"error",IF(P61&gt;1,"error",""))</f>
        <v>error</v>
      </c>
      <c r="R61" s="3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4"/>
    </row>
    <row r="62" spans="2:122" ht="15.75" thickBot="1" x14ac:dyDescent="0.3">
      <c r="B62" s="1"/>
      <c r="C62" s="39"/>
      <c r="D62" s="40">
        <v>5</v>
      </c>
      <c r="E62" s="40">
        <v>4</v>
      </c>
      <c r="F62" s="40">
        <v>3</v>
      </c>
      <c r="G62" s="40">
        <v>2</v>
      </c>
      <c r="H62" s="40">
        <v>1</v>
      </c>
      <c r="I62" s="4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4"/>
    </row>
    <row r="63" spans="2:122" ht="15.75" thickBot="1" x14ac:dyDescent="0.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4"/>
    </row>
    <row r="64" spans="2:122" x14ac:dyDescent="0.25">
      <c r="B64" s="1"/>
      <c r="C64" s="31" t="s">
        <v>57</v>
      </c>
      <c r="D64" s="43" t="s">
        <v>58</v>
      </c>
      <c r="E64" s="44"/>
      <c r="F64" s="44"/>
      <c r="G64" s="44"/>
      <c r="H64" s="44"/>
      <c r="I64" s="45"/>
      <c r="J64" s="3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4"/>
    </row>
    <row r="65" spans="2:122" x14ac:dyDescent="0.25">
      <c r="B65" s="1"/>
      <c r="C65" s="33"/>
      <c r="D65" s="34"/>
      <c r="E65" s="34"/>
      <c r="F65" s="34"/>
      <c r="G65" s="34"/>
      <c r="H65" s="34"/>
      <c r="I65" s="3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4"/>
    </row>
    <row r="66" spans="2:122" ht="26.25" x14ac:dyDescent="0.25">
      <c r="B66" s="1"/>
      <c r="C66" s="33"/>
      <c r="D66" s="36" t="s">
        <v>42</v>
      </c>
      <c r="E66" s="36" t="s">
        <v>43</v>
      </c>
      <c r="F66" s="36" t="s">
        <v>44</v>
      </c>
      <c r="G66" s="36" t="s">
        <v>45</v>
      </c>
      <c r="H66" s="36" t="s">
        <v>46</v>
      </c>
      <c r="I66" s="3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4"/>
    </row>
    <row r="67" spans="2:122" x14ac:dyDescent="0.25">
      <c r="B67" s="1"/>
      <c r="C67" s="33"/>
      <c r="D67" s="37"/>
      <c r="E67" s="37"/>
      <c r="F67" s="37"/>
      <c r="G67" s="37"/>
      <c r="H67" s="37"/>
      <c r="I67" s="35"/>
      <c r="J67">
        <f>IF(D67="x",5,0)</f>
        <v>0</v>
      </c>
      <c r="K67">
        <f>IF(E67="x",4,0)</f>
        <v>0</v>
      </c>
      <c r="L67">
        <f>IF(F67="x",3,0)</f>
        <v>0</v>
      </c>
      <c r="M67">
        <f>IF(G67="x",2,0)</f>
        <v>0</v>
      </c>
      <c r="N67">
        <f>IF(H67="x",1,0)</f>
        <v>0</v>
      </c>
      <c r="O67" s="3" t="str">
        <f>IF(Q67="",SUM(J67:N67),"falso")</f>
        <v>falso</v>
      </c>
      <c r="P67">
        <f>COUNTIF(D67:H67,"x")</f>
        <v>0</v>
      </c>
      <c r="Q67" s="38" t="str">
        <f>IF(P67&lt;1,"error",IF(P67&gt;1,"error",""))</f>
        <v>error</v>
      </c>
      <c r="R67" s="3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4"/>
    </row>
    <row r="68" spans="2:122" ht="15.75" thickBot="1" x14ac:dyDescent="0.3">
      <c r="B68" s="1"/>
      <c r="C68" s="39"/>
      <c r="D68" s="40">
        <v>5</v>
      </c>
      <c r="E68" s="40">
        <v>4</v>
      </c>
      <c r="F68" s="40">
        <v>3</v>
      </c>
      <c r="G68" s="40">
        <v>2</v>
      </c>
      <c r="H68" s="40">
        <v>1</v>
      </c>
      <c r="I68" s="4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4"/>
    </row>
    <row r="69" spans="2:122" ht="15.75" thickBot="1" x14ac:dyDescent="0.3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4"/>
    </row>
    <row r="70" spans="2:122" x14ac:dyDescent="0.25">
      <c r="B70" s="1"/>
      <c r="C70" s="31" t="s">
        <v>59</v>
      </c>
      <c r="D70" s="43" t="s">
        <v>60</v>
      </c>
      <c r="E70" s="44"/>
      <c r="F70" s="44"/>
      <c r="G70" s="44"/>
      <c r="H70" s="44"/>
      <c r="I70" s="45"/>
      <c r="J70" s="3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4"/>
    </row>
    <row r="71" spans="2:122" x14ac:dyDescent="0.25">
      <c r="B71" s="1"/>
      <c r="C71" s="33"/>
      <c r="D71" s="34"/>
      <c r="E71" s="34"/>
      <c r="F71" s="34"/>
      <c r="G71" s="34"/>
      <c r="H71" s="34"/>
      <c r="I71" s="3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4"/>
    </row>
    <row r="72" spans="2:122" ht="26.25" x14ac:dyDescent="0.25">
      <c r="B72" s="1"/>
      <c r="C72" s="33"/>
      <c r="D72" s="36" t="s">
        <v>42</v>
      </c>
      <c r="E72" s="36" t="s">
        <v>43</v>
      </c>
      <c r="F72" s="36" t="s">
        <v>44</v>
      </c>
      <c r="G72" s="36" t="s">
        <v>45</v>
      </c>
      <c r="H72" s="36" t="s">
        <v>46</v>
      </c>
      <c r="I72" s="3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4"/>
    </row>
    <row r="73" spans="2:122" x14ac:dyDescent="0.25">
      <c r="B73" s="1"/>
      <c r="C73" s="33"/>
      <c r="D73" s="37"/>
      <c r="E73" s="37"/>
      <c r="F73" s="37"/>
      <c r="G73" s="37"/>
      <c r="H73" s="37"/>
      <c r="I73" s="35"/>
      <c r="J73">
        <f>IF(D73="x",5,0)</f>
        <v>0</v>
      </c>
      <c r="K73">
        <f>IF(E73="x",4,0)</f>
        <v>0</v>
      </c>
      <c r="L73">
        <f>IF(F73="x",3,0)</f>
        <v>0</v>
      </c>
      <c r="M73">
        <f>IF(G73="x",2,0)</f>
        <v>0</v>
      </c>
      <c r="N73">
        <f>IF(H73="x",1,0)</f>
        <v>0</v>
      </c>
      <c r="O73" s="3" t="str">
        <f>IF(Q73="",SUM(J73:N73),"falso")</f>
        <v>falso</v>
      </c>
      <c r="P73">
        <f>COUNTIF(D73:H73,"x")</f>
        <v>0</v>
      </c>
      <c r="Q73" s="38" t="str">
        <f>IF(P73&lt;1,"error",IF(P73&gt;1,"error",""))</f>
        <v>error</v>
      </c>
      <c r="R73" s="38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4"/>
    </row>
    <row r="74" spans="2:122" ht="15.75" thickBot="1" x14ac:dyDescent="0.3">
      <c r="B74" s="1"/>
      <c r="C74" s="39"/>
      <c r="D74" s="40">
        <v>5</v>
      </c>
      <c r="E74" s="40">
        <v>4</v>
      </c>
      <c r="F74" s="40">
        <v>3</v>
      </c>
      <c r="G74" s="40">
        <v>2</v>
      </c>
      <c r="H74" s="40">
        <v>1</v>
      </c>
      <c r="I74" s="4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4"/>
    </row>
    <row r="75" spans="2:122" ht="15.75" thickBot="1" x14ac:dyDescent="0.3"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4"/>
    </row>
    <row r="76" spans="2:122" x14ac:dyDescent="0.25">
      <c r="B76" s="1"/>
      <c r="C76" s="31" t="s">
        <v>61</v>
      </c>
      <c r="D76" s="43" t="s">
        <v>62</v>
      </c>
      <c r="E76" s="44"/>
      <c r="F76" s="44"/>
      <c r="G76" s="44"/>
      <c r="H76" s="44"/>
      <c r="I76" s="45"/>
      <c r="J76" s="3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4"/>
    </row>
    <row r="77" spans="2:122" x14ac:dyDescent="0.25">
      <c r="B77" s="1"/>
      <c r="C77" s="33"/>
      <c r="D77" s="34"/>
      <c r="E77" s="34"/>
      <c r="F77" s="34"/>
      <c r="G77" s="34"/>
      <c r="H77" s="34"/>
      <c r="I77" s="3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4"/>
    </row>
    <row r="78" spans="2:122" ht="26.25" x14ac:dyDescent="0.25">
      <c r="B78" s="1"/>
      <c r="C78" s="33"/>
      <c r="D78" s="36" t="s">
        <v>42</v>
      </c>
      <c r="E78" s="36" t="s">
        <v>43</v>
      </c>
      <c r="F78" s="36" t="s">
        <v>44</v>
      </c>
      <c r="G78" s="36" t="s">
        <v>45</v>
      </c>
      <c r="H78" s="36" t="s">
        <v>46</v>
      </c>
      <c r="I78" s="3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4"/>
    </row>
    <row r="79" spans="2:122" x14ac:dyDescent="0.25">
      <c r="B79" s="1"/>
      <c r="C79" s="33"/>
      <c r="D79" s="37"/>
      <c r="E79" s="37"/>
      <c r="F79" s="37"/>
      <c r="G79" s="37"/>
      <c r="H79" s="37"/>
      <c r="I79" s="35"/>
      <c r="J79">
        <f>IF(D79="x",5,0)</f>
        <v>0</v>
      </c>
      <c r="K79">
        <f>IF(E79="x",4,0)</f>
        <v>0</v>
      </c>
      <c r="L79">
        <f>IF(F79="x",3,0)</f>
        <v>0</v>
      </c>
      <c r="M79">
        <f>IF(G79="x",2,0)</f>
        <v>0</v>
      </c>
      <c r="N79">
        <f>IF(H79="x",1,0)</f>
        <v>0</v>
      </c>
      <c r="O79" s="3" t="str">
        <f>IF(Q79="",SUM(J79:N79),"falso")</f>
        <v>falso</v>
      </c>
      <c r="P79">
        <f>COUNTIF(D79:H79,"x")</f>
        <v>0</v>
      </c>
      <c r="Q79" s="38" t="str">
        <f>IF(P79&lt;1,"error",IF(P79&gt;1,"error",""))</f>
        <v>error</v>
      </c>
      <c r="R79" s="3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4"/>
    </row>
    <row r="80" spans="2:122" ht="15.75" thickBot="1" x14ac:dyDescent="0.3">
      <c r="B80" s="1"/>
      <c r="C80" s="39"/>
      <c r="D80" s="40">
        <v>5</v>
      </c>
      <c r="E80" s="40">
        <v>4</v>
      </c>
      <c r="F80" s="40">
        <v>3</v>
      </c>
      <c r="G80" s="40">
        <v>2</v>
      </c>
      <c r="H80" s="40">
        <v>1</v>
      </c>
      <c r="I80" s="4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4"/>
    </row>
    <row r="81" spans="2:122" ht="15.75" thickBot="1" x14ac:dyDescent="0.3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4"/>
    </row>
    <row r="82" spans="2:122" x14ac:dyDescent="0.25">
      <c r="B82" s="1"/>
      <c r="C82" s="31" t="s">
        <v>63</v>
      </c>
      <c r="D82" s="43" t="s">
        <v>64</v>
      </c>
      <c r="E82" s="44"/>
      <c r="F82" s="44"/>
      <c r="G82" s="44"/>
      <c r="H82" s="44"/>
      <c r="I82" s="45"/>
      <c r="J82" s="3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4"/>
    </row>
    <row r="83" spans="2:122" x14ac:dyDescent="0.25">
      <c r="B83" s="1"/>
      <c r="C83" s="33"/>
      <c r="D83" s="34"/>
      <c r="E83" s="34"/>
      <c r="F83" s="34"/>
      <c r="G83" s="34"/>
      <c r="H83" s="34"/>
      <c r="I83" s="3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4"/>
    </row>
    <row r="84" spans="2:122" ht="26.25" x14ac:dyDescent="0.25">
      <c r="B84" s="1"/>
      <c r="C84" s="33"/>
      <c r="D84" s="36" t="s">
        <v>42</v>
      </c>
      <c r="E84" s="36" t="s">
        <v>43</v>
      </c>
      <c r="F84" s="36" t="s">
        <v>44</v>
      </c>
      <c r="G84" s="36" t="s">
        <v>45</v>
      </c>
      <c r="H84" s="36" t="s">
        <v>46</v>
      </c>
      <c r="I84" s="3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4"/>
    </row>
    <row r="85" spans="2:122" x14ac:dyDescent="0.25">
      <c r="B85" s="1"/>
      <c r="C85" s="33"/>
      <c r="D85" s="37"/>
      <c r="E85" s="37"/>
      <c r="F85" s="37"/>
      <c r="G85" s="37"/>
      <c r="H85" s="37"/>
      <c r="I85" s="35"/>
      <c r="J85">
        <f>IF(D85="x",5,0)</f>
        <v>0</v>
      </c>
      <c r="K85">
        <f>IF(E85="x",4,0)</f>
        <v>0</v>
      </c>
      <c r="L85">
        <f>IF(F85="x",3,0)</f>
        <v>0</v>
      </c>
      <c r="M85">
        <f>IF(G85="x",2,0)</f>
        <v>0</v>
      </c>
      <c r="N85">
        <f>IF(H85="x",1,0)</f>
        <v>0</v>
      </c>
      <c r="O85" s="3" t="str">
        <f>IF(Q85="",SUM(J85:N85),"falso")</f>
        <v>falso</v>
      </c>
      <c r="P85">
        <f>COUNTIF(D85:H85,"x")</f>
        <v>0</v>
      </c>
      <c r="Q85" s="38" t="str">
        <f>IF(P85&lt;1,"error",IF(P85&gt;1,"error",""))</f>
        <v>error</v>
      </c>
      <c r="R85" s="3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4"/>
    </row>
    <row r="86" spans="2:122" ht="15.75" thickBot="1" x14ac:dyDescent="0.3">
      <c r="B86" s="1"/>
      <c r="C86" s="39"/>
      <c r="D86" s="40">
        <v>5</v>
      </c>
      <c r="E86" s="40">
        <v>4</v>
      </c>
      <c r="F86" s="40">
        <v>3</v>
      </c>
      <c r="G86" s="40">
        <v>2</v>
      </c>
      <c r="H86" s="40">
        <v>1</v>
      </c>
      <c r="I86" s="4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4"/>
    </row>
    <row r="87" spans="2:122" ht="15.75" thickBot="1" x14ac:dyDescent="0.3"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4"/>
    </row>
    <row r="88" spans="2:122" x14ac:dyDescent="0.25">
      <c r="B88" s="1"/>
      <c r="C88" s="31" t="s">
        <v>65</v>
      </c>
      <c r="D88" s="43" t="s">
        <v>66</v>
      </c>
      <c r="E88" s="44"/>
      <c r="F88" s="44"/>
      <c r="G88" s="44"/>
      <c r="H88" s="44"/>
      <c r="I88" s="45"/>
      <c r="J88" s="3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4"/>
    </row>
    <row r="89" spans="2:122" x14ac:dyDescent="0.25">
      <c r="B89" s="1"/>
      <c r="C89" s="33"/>
      <c r="D89" s="34"/>
      <c r="E89" s="34"/>
      <c r="F89" s="34"/>
      <c r="G89" s="34"/>
      <c r="H89" s="34"/>
      <c r="I89" s="3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4"/>
    </row>
    <row r="90" spans="2:122" ht="26.25" x14ac:dyDescent="0.25">
      <c r="B90" s="1"/>
      <c r="C90" s="33"/>
      <c r="D90" s="36" t="s">
        <v>42</v>
      </c>
      <c r="E90" s="36" t="s">
        <v>43</v>
      </c>
      <c r="F90" s="36" t="s">
        <v>44</v>
      </c>
      <c r="G90" s="36" t="s">
        <v>45</v>
      </c>
      <c r="H90" s="36" t="s">
        <v>46</v>
      </c>
      <c r="I90" s="3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4"/>
    </row>
    <row r="91" spans="2:122" x14ac:dyDescent="0.25">
      <c r="B91" s="1"/>
      <c r="C91" s="33"/>
      <c r="D91" s="37"/>
      <c r="E91" s="37"/>
      <c r="F91" s="37"/>
      <c r="G91" s="37"/>
      <c r="H91" s="37"/>
      <c r="I91" s="35"/>
      <c r="J91">
        <f>IF(D91="x",5,0)</f>
        <v>0</v>
      </c>
      <c r="K91">
        <f>IF(E91="x",4,0)</f>
        <v>0</v>
      </c>
      <c r="L91">
        <f>IF(F91="x",3,0)</f>
        <v>0</v>
      </c>
      <c r="M91">
        <f>IF(G91="x",2,0)</f>
        <v>0</v>
      </c>
      <c r="N91">
        <f>IF(H91="x",1,0)</f>
        <v>0</v>
      </c>
      <c r="O91" s="3" t="str">
        <f>IF(Q91="",SUM(J91:N91),"falso")</f>
        <v>falso</v>
      </c>
      <c r="P91">
        <f>COUNTIF(D91:H91,"x")</f>
        <v>0</v>
      </c>
      <c r="Q91" s="38" t="str">
        <f>IF(P91&lt;1,"error",IF(P91&gt;1,"error",""))</f>
        <v>error</v>
      </c>
      <c r="R91" s="3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4"/>
    </row>
    <row r="92" spans="2:122" ht="15.75" thickBot="1" x14ac:dyDescent="0.3">
      <c r="B92" s="1"/>
      <c r="C92" s="39"/>
      <c r="D92" s="40">
        <v>5</v>
      </c>
      <c r="E92" s="40">
        <v>4</v>
      </c>
      <c r="F92" s="40">
        <v>3</v>
      </c>
      <c r="G92" s="40">
        <v>2</v>
      </c>
      <c r="H92" s="40">
        <v>1</v>
      </c>
      <c r="I92" s="4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4"/>
    </row>
    <row r="93" spans="2:122" ht="15.75" thickBot="1" x14ac:dyDescent="0.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4"/>
    </row>
    <row r="94" spans="2:122" x14ac:dyDescent="0.25">
      <c r="B94" s="1"/>
      <c r="C94" s="31" t="s">
        <v>67</v>
      </c>
      <c r="D94" s="43" t="s">
        <v>68</v>
      </c>
      <c r="E94" s="44"/>
      <c r="F94" s="44"/>
      <c r="G94" s="44"/>
      <c r="H94" s="44"/>
      <c r="I94" s="45"/>
      <c r="J94" s="3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4"/>
    </row>
    <row r="95" spans="2:122" x14ac:dyDescent="0.25">
      <c r="B95" s="1"/>
      <c r="C95" s="33"/>
      <c r="D95" s="34"/>
      <c r="E95" s="34"/>
      <c r="F95" s="34"/>
      <c r="G95" s="34"/>
      <c r="H95" s="34"/>
      <c r="I95" s="3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4"/>
    </row>
    <row r="96" spans="2:122" ht="26.25" x14ac:dyDescent="0.25">
      <c r="B96" s="1"/>
      <c r="C96" s="33"/>
      <c r="D96" s="36" t="s">
        <v>42</v>
      </c>
      <c r="E96" s="36" t="s">
        <v>43</v>
      </c>
      <c r="F96" s="36" t="s">
        <v>44</v>
      </c>
      <c r="G96" s="36" t="s">
        <v>45</v>
      </c>
      <c r="H96" s="36" t="s">
        <v>46</v>
      </c>
      <c r="I96" s="3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4"/>
    </row>
    <row r="97" spans="2:122" x14ac:dyDescent="0.25">
      <c r="B97" s="1"/>
      <c r="C97" s="33"/>
      <c r="D97" s="37"/>
      <c r="E97" s="37"/>
      <c r="F97" s="37"/>
      <c r="G97" s="37"/>
      <c r="H97" s="37"/>
      <c r="I97" s="35"/>
      <c r="J97">
        <f>IF(D97="x",5,0)</f>
        <v>0</v>
      </c>
      <c r="K97">
        <f>IF(E97="x",4,0)</f>
        <v>0</v>
      </c>
      <c r="L97">
        <f>IF(F97="x",3,0)</f>
        <v>0</v>
      </c>
      <c r="M97">
        <f>IF(G97="x",2,0)</f>
        <v>0</v>
      </c>
      <c r="N97">
        <f>IF(H97="x",1,0)</f>
        <v>0</v>
      </c>
      <c r="O97" s="3" t="str">
        <f>IF(Q97="",SUM(J97:N97),"falso")</f>
        <v>falso</v>
      </c>
      <c r="P97">
        <f>COUNTIF(D97:H97,"x")</f>
        <v>0</v>
      </c>
      <c r="Q97" s="38" t="str">
        <f>IF(P97&lt;1,"error",IF(P97&gt;1,"error",""))</f>
        <v>error</v>
      </c>
      <c r="R97" s="3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4"/>
    </row>
    <row r="98" spans="2:122" ht="15.75" thickBot="1" x14ac:dyDescent="0.3">
      <c r="B98" s="1"/>
      <c r="C98" s="39"/>
      <c r="D98" s="40">
        <v>5</v>
      </c>
      <c r="E98" s="40">
        <v>4</v>
      </c>
      <c r="F98" s="40">
        <v>3</v>
      </c>
      <c r="G98" s="40">
        <v>2</v>
      </c>
      <c r="H98" s="40">
        <v>1</v>
      </c>
      <c r="I98" s="4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4"/>
    </row>
    <row r="99" spans="2:122" ht="15.75" thickBot="1" x14ac:dyDescent="0.3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4"/>
    </row>
    <row r="100" spans="2:122" x14ac:dyDescent="0.25">
      <c r="B100" s="1"/>
      <c r="C100" s="31" t="s">
        <v>69</v>
      </c>
      <c r="D100" s="43" t="s">
        <v>70</v>
      </c>
      <c r="E100" s="44"/>
      <c r="F100" s="44"/>
      <c r="G100" s="44"/>
      <c r="H100" s="44"/>
      <c r="I100" s="45"/>
      <c r="J100" s="3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4"/>
    </row>
    <row r="101" spans="2:122" x14ac:dyDescent="0.25">
      <c r="B101" s="1"/>
      <c r="C101" s="33"/>
      <c r="D101" s="34"/>
      <c r="E101" s="34"/>
      <c r="F101" s="34"/>
      <c r="G101" s="34"/>
      <c r="H101" s="34"/>
      <c r="I101" s="3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4"/>
    </row>
    <row r="102" spans="2:122" ht="26.25" x14ac:dyDescent="0.25">
      <c r="B102" s="1"/>
      <c r="C102" s="33"/>
      <c r="D102" s="36" t="s">
        <v>42</v>
      </c>
      <c r="E102" s="36" t="s">
        <v>43</v>
      </c>
      <c r="F102" s="36" t="s">
        <v>44</v>
      </c>
      <c r="G102" s="36" t="s">
        <v>45</v>
      </c>
      <c r="H102" s="36" t="s">
        <v>46</v>
      </c>
      <c r="I102" s="3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4"/>
    </row>
    <row r="103" spans="2:122" x14ac:dyDescent="0.25">
      <c r="B103" s="1"/>
      <c r="C103" s="33"/>
      <c r="D103" s="37"/>
      <c r="E103" s="37"/>
      <c r="F103" s="37"/>
      <c r="G103" s="37"/>
      <c r="H103" s="37"/>
      <c r="I103" s="35"/>
      <c r="J103">
        <f>IF(D103="x",5,0)</f>
        <v>0</v>
      </c>
      <c r="K103">
        <f>IF(E103="x",4,0)</f>
        <v>0</v>
      </c>
      <c r="L103">
        <f>IF(F103="x",3,0)</f>
        <v>0</v>
      </c>
      <c r="M103">
        <f>IF(G103="x",2,0)</f>
        <v>0</v>
      </c>
      <c r="N103">
        <f>IF(H103="x",1,0)</f>
        <v>0</v>
      </c>
      <c r="O103" s="3" t="str">
        <f>IF(Q103="",SUM(J103:N103),"falso")</f>
        <v>falso</v>
      </c>
      <c r="P103">
        <f>COUNTIF(D103:H103,"x")</f>
        <v>0</v>
      </c>
      <c r="Q103" s="38" t="str">
        <f>IF(P103&lt;1,"error",IF(P103&gt;1,"error",""))</f>
        <v>error</v>
      </c>
      <c r="R103" s="3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4"/>
    </row>
    <row r="104" spans="2:122" ht="15.75" thickBot="1" x14ac:dyDescent="0.3">
      <c r="B104" s="1"/>
      <c r="C104" s="39"/>
      <c r="D104" s="40">
        <v>5</v>
      </c>
      <c r="E104" s="40">
        <v>4</v>
      </c>
      <c r="F104" s="40">
        <v>3</v>
      </c>
      <c r="G104" s="40">
        <v>2</v>
      </c>
      <c r="H104" s="40">
        <v>1</v>
      </c>
      <c r="I104" s="4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4"/>
    </row>
    <row r="105" spans="2:122" ht="15.75" thickBot="1" x14ac:dyDescent="0.3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4"/>
    </row>
    <row r="106" spans="2:122" x14ac:dyDescent="0.25">
      <c r="B106" s="1"/>
      <c r="C106" s="31" t="s">
        <v>71</v>
      </c>
      <c r="D106" s="43" t="s">
        <v>72</v>
      </c>
      <c r="E106" s="44"/>
      <c r="F106" s="44"/>
      <c r="G106" s="44"/>
      <c r="H106" s="44"/>
      <c r="I106" s="45"/>
      <c r="J106" s="3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4"/>
    </row>
    <row r="107" spans="2:122" x14ac:dyDescent="0.25">
      <c r="B107" s="1"/>
      <c r="C107" s="33"/>
      <c r="D107" s="34"/>
      <c r="E107" s="34"/>
      <c r="F107" s="34"/>
      <c r="G107" s="34"/>
      <c r="H107" s="34"/>
      <c r="I107" s="3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4"/>
    </row>
    <row r="108" spans="2:122" ht="26.25" x14ac:dyDescent="0.25">
      <c r="B108" s="1"/>
      <c r="C108" s="33"/>
      <c r="D108" s="36" t="s">
        <v>42</v>
      </c>
      <c r="E108" s="36" t="s">
        <v>43</v>
      </c>
      <c r="F108" s="36" t="s">
        <v>44</v>
      </c>
      <c r="G108" s="36" t="s">
        <v>45</v>
      </c>
      <c r="H108" s="36" t="s">
        <v>46</v>
      </c>
      <c r="I108" s="3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4"/>
    </row>
    <row r="109" spans="2:122" x14ac:dyDescent="0.25">
      <c r="B109" s="1"/>
      <c r="C109" s="33"/>
      <c r="D109" s="37"/>
      <c r="E109" s="37"/>
      <c r="F109" s="37"/>
      <c r="G109" s="37"/>
      <c r="H109" s="37"/>
      <c r="I109" s="35"/>
      <c r="J109">
        <f>IF(D109="x",5,0)</f>
        <v>0</v>
      </c>
      <c r="K109">
        <f>IF(E109="x",4,0)</f>
        <v>0</v>
      </c>
      <c r="L109">
        <f>IF(F109="x",3,0)</f>
        <v>0</v>
      </c>
      <c r="M109">
        <f>IF(G109="x",2,0)</f>
        <v>0</v>
      </c>
      <c r="N109">
        <f>IF(H109="x",1,0)</f>
        <v>0</v>
      </c>
      <c r="O109" s="3" t="str">
        <f>IF(Q109="",SUM(J109:N109),"falso")</f>
        <v>falso</v>
      </c>
      <c r="P109">
        <f>COUNTIF(D109:H109,"x")</f>
        <v>0</v>
      </c>
      <c r="Q109" s="38" t="str">
        <f>IF(P109&lt;1,"error",IF(P109&gt;1,"error",""))</f>
        <v>error</v>
      </c>
      <c r="R109" s="3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4"/>
    </row>
    <row r="110" spans="2:122" ht="15.75" thickBot="1" x14ac:dyDescent="0.3">
      <c r="B110" s="1"/>
      <c r="C110" s="39"/>
      <c r="D110" s="40">
        <v>5</v>
      </c>
      <c r="E110" s="40">
        <v>4</v>
      </c>
      <c r="F110" s="40">
        <v>3</v>
      </c>
      <c r="G110" s="40">
        <v>2</v>
      </c>
      <c r="H110" s="40">
        <v>1</v>
      </c>
      <c r="I110" s="4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4"/>
    </row>
    <row r="111" spans="2:122" ht="15.75" thickBot="1" x14ac:dyDescent="0.3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4"/>
    </row>
    <row r="112" spans="2:122" x14ac:dyDescent="0.25">
      <c r="B112" s="1"/>
      <c r="C112" s="31" t="s">
        <v>73</v>
      </c>
      <c r="D112" s="43" t="s">
        <v>74</v>
      </c>
      <c r="E112" s="44"/>
      <c r="F112" s="44"/>
      <c r="G112" s="44"/>
      <c r="H112" s="44"/>
      <c r="I112" s="45"/>
      <c r="J112" s="3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4"/>
    </row>
    <row r="113" spans="2:122" x14ac:dyDescent="0.25">
      <c r="B113" s="1"/>
      <c r="C113" s="33"/>
      <c r="D113" s="34"/>
      <c r="E113" s="34"/>
      <c r="F113" s="34"/>
      <c r="G113" s="34"/>
      <c r="H113" s="34"/>
      <c r="I113" s="3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4"/>
    </row>
    <row r="114" spans="2:122" ht="26.25" x14ac:dyDescent="0.25">
      <c r="B114" s="1"/>
      <c r="C114" s="33"/>
      <c r="D114" s="36" t="s">
        <v>42</v>
      </c>
      <c r="E114" s="36" t="s">
        <v>43</v>
      </c>
      <c r="F114" s="36" t="s">
        <v>44</v>
      </c>
      <c r="G114" s="36" t="s">
        <v>45</v>
      </c>
      <c r="H114" s="36" t="s">
        <v>46</v>
      </c>
      <c r="I114" s="3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4"/>
    </row>
    <row r="115" spans="2:122" x14ac:dyDescent="0.25">
      <c r="B115" s="1"/>
      <c r="C115" s="33"/>
      <c r="D115" s="37"/>
      <c r="E115" s="37"/>
      <c r="F115" s="37"/>
      <c r="G115" s="37"/>
      <c r="H115" s="37"/>
      <c r="I115" s="35"/>
      <c r="J115">
        <f>IF(D115="x",5,0)</f>
        <v>0</v>
      </c>
      <c r="K115">
        <f>IF(E115="x",4,0)</f>
        <v>0</v>
      </c>
      <c r="L115">
        <f>IF(F115="x",3,0)</f>
        <v>0</v>
      </c>
      <c r="M115">
        <f>IF(G115="x",2,0)</f>
        <v>0</v>
      </c>
      <c r="N115">
        <f>IF(H115="x",1,0)</f>
        <v>0</v>
      </c>
      <c r="O115" s="3" t="str">
        <f>IF(Q115="",SUM(J115:N115),"falso")</f>
        <v>falso</v>
      </c>
      <c r="P115">
        <f>COUNTIF(D115:H115,"x")</f>
        <v>0</v>
      </c>
      <c r="Q115" s="38" t="str">
        <f>IF(P115&lt;1,"error",IF(P115&gt;1,"error",""))</f>
        <v>error</v>
      </c>
      <c r="R115" s="3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4"/>
    </row>
    <row r="116" spans="2:122" ht="15.75" thickBot="1" x14ac:dyDescent="0.3">
      <c r="B116" s="1"/>
      <c r="C116" s="39"/>
      <c r="D116" s="40">
        <v>5</v>
      </c>
      <c r="E116" s="40">
        <v>4</v>
      </c>
      <c r="F116" s="40">
        <v>3</v>
      </c>
      <c r="G116" s="40">
        <v>2</v>
      </c>
      <c r="H116" s="40">
        <v>1</v>
      </c>
      <c r="I116" s="4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4"/>
    </row>
    <row r="117" spans="2:122" ht="15.75" thickBot="1" x14ac:dyDescent="0.3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4"/>
    </row>
    <row r="118" spans="2:122" x14ac:dyDescent="0.25">
      <c r="B118" s="1"/>
      <c r="C118" s="31" t="s">
        <v>75</v>
      </c>
      <c r="D118" s="43" t="s">
        <v>76</v>
      </c>
      <c r="E118" s="44"/>
      <c r="F118" s="44"/>
      <c r="G118" s="44"/>
      <c r="H118" s="44"/>
      <c r="I118" s="45"/>
      <c r="J118" s="3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4"/>
    </row>
    <row r="119" spans="2:122" x14ac:dyDescent="0.25">
      <c r="B119" s="1"/>
      <c r="C119" s="33"/>
      <c r="D119" s="34"/>
      <c r="E119" s="34"/>
      <c r="F119" s="34"/>
      <c r="G119" s="34"/>
      <c r="H119" s="34"/>
      <c r="I119" s="3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4"/>
    </row>
    <row r="120" spans="2:122" ht="26.25" x14ac:dyDescent="0.25">
      <c r="B120" s="1"/>
      <c r="C120" s="33"/>
      <c r="D120" s="36" t="s">
        <v>42</v>
      </c>
      <c r="E120" s="36" t="s">
        <v>43</v>
      </c>
      <c r="F120" s="36" t="s">
        <v>44</v>
      </c>
      <c r="G120" s="36" t="s">
        <v>45</v>
      </c>
      <c r="H120" s="36" t="s">
        <v>46</v>
      </c>
      <c r="I120" s="3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4"/>
    </row>
    <row r="121" spans="2:122" x14ac:dyDescent="0.25">
      <c r="B121" s="1"/>
      <c r="C121" s="33"/>
      <c r="D121" s="37"/>
      <c r="E121" s="37"/>
      <c r="F121" s="37"/>
      <c r="G121" s="37"/>
      <c r="H121" s="37"/>
      <c r="I121" s="35"/>
      <c r="J121">
        <f>IF(D121="x",5,0)</f>
        <v>0</v>
      </c>
      <c r="K121">
        <f>IF(E121="x",4,0)</f>
        <v>0</v>
      </c>
      <c r="L121">
        <f>IF(F121="x",3,0)</f>
        <v>0</v>
      </c>
      <c r="M121">
        <f>IF(G121="x",2,0)</f>
        <v>0</v>
      </c>
      <c r="N121">
        <f>IF(H121="x",1,0)</f>
        <v>0</v>
      </c>
      <c r="O121" s="3" t="str">
        <f>IF(Q121="",SUM(J121:N121),"falso")</f>
        <v>falso</v>
      </c>
      <c r="P121">
        <f>COUNTIF(D121:H121,"x")</f>
        <v>0</v>
      </c>
      <c r="Q121" s="38" t="str">
        <f>IF(P121&lt;1,"error",IF(P121&gt;1,"error",""))</f>
        <v>error</v>
      </c>
      <c r="R121" s="38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4"/>
    </row>
    <row r="122" spans="2:122" ht="15.75" thickBot="1" x14ac:dyDescent="0.3">
      <c r="B122" s="1"/>
      <c r="C122" s="39"/>
      <c r="D122" s="40">
        <v>5</v>
      </c>
      <c r="E122" s="40">
        <v>4</v>
      </c>
      <c r="F122" s="40">
        <v>3</v>
      </c>
      <c r="G122" s="40">
        <v>2</v>
      </c>
      <c r="H122" s="40">
        <v>1</v>
      </c>
      <c r="I122" s="4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4"/>
    </row>
    <row r="123" spans="2:122" ht="15.75" thickBot="1" x14ac:dyDescent="0.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4"/>
    </row>
    <row r="124" spans="2:122" x14ac:dyDescent="0.25">
      <c r="B124" s="1"/>
      <c r="C124" s="31" t="s">
        <v>77</v>
      </c>
      <c r="D124" s="43" t="s">
        <v>78</v>
      </c>
      <c r="E124" s="44"/>
      <c r="F124" s="44"/>
      <c r="G124" s="44"/>
      <c r="H124" s="44"/>
      <c r="I124" s="45"/>
      <c r="J124" s="3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4"/>
    </row>
    <row r="125" spans="2:122" x14ac:dyDescent="0.25">
      <c r="B125" s="1"/>
      <c r="C125" s="33"/>
      <c r="D125" s="34"/>
      <c r="E125" s="34"/>
      <c r="F125" s="34"/>
      <c r="G125" s="34"/>
      <c r="H125" s="34"/>
      <c r="I125" s="3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4"/>
    </row>
    <row r="126" spans="2:122" ht="26.25" x14ac:dyDescent="0.25">
      <c r="B126" s="1"/>
      <c r="C126" s="33"/>
      <c r="D126" s="36" t="s">
        <v>42</v>
      </c>
      <c r="E126" s="36" t="s">
        <v>43</v>
      </c>
      <c r="F126" s="36" t="s">
        <v>44</v>
      </c>
      <c r="G126" s="36" t="s">
        <v>45</v>
      </c>
      <c r="H126" s="36" t="s">
        <v>46</v>
      </c>
      <c r="I126" s="3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4"/>
    </row>
    <row r="127" spans="2:122" x14ac:dyDescent="0.25">
      <c r="B127" s="1"/>
      <c r="C127" s="33"/>
      <c r="D127" s="37"/>
      <c r="E127" s="37"/>
      <c r="F127" s="37"/>
      <c r="G127" s="37"/>
      <c r="H127" s="37"/>
      <c r="I127" s="35"/>
      <c r="J127">
        <f>IF(D127="x",5,0)</f>
        <v>0</v>
      </c>
      <c r="K127">
        <f>IF(E127="x",4,0)</f>
        <v>0</v>
      </c>
      <c r="L127">
        <f>IF(F127="x",3,0)</f>
        <v>0</v>
      </c>
      <c r="M127">
        <f>IF(G127="x",2,0)</f>
        <v>0</v>
      </c>
      <c r="N127">
        <f>IF(H127="x",1,0)</f>
        <v>0</v>
      </c>
      <c r="O127" s="3" t="str">
        <f>IF(Q127="",SUM(J127:N127),"falso")</f>
        <v>falso</v>
      </c>
      <c r="P127">
        <f>COUNTIF(D127:H127,"x")</f>
        <v>0</v>
      </c>
      <c r="Q127" s="38" t="str">
        <f>IF(P127&lt;1,"error",IF(P127&gt;1,"error",""))</f>
        <v>error</v>
      </c>
      <c r="R127" s="38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4"/>
    </row>
    <row r="128" spans="2:122" ht="15.75" thickBot="1" x14ac:dyDescent="0.3">
      <c r="B128" s="1"/>
      <c r="C128" s="39"/>
      <c r="D128" s="40">
        <v>5</v>
      </c>
      <c r="E128" s="40">
        <v>4</v>
      </c>
      <c r="F128" s="40">
        <v>3</v>
      </c>
      <c r="G128" s="40">
        <v>2</v>
      </c>
      <c r="H128" s="40">
        <v>1</v>
      </c>
      <c r="I128" s="4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4"/>
    </row>
    <row r="129" spans="2:122" ht="15.75" thickBot="1" x14ac:dyDescent="0.3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4"/>
    </row>
    <row r="130" spans="2:122" x14ac:dyDescent="0.25">
      <c r="B130" s="1"/>
      <c r="C130" s="31" t="s">
        <v>79</v>
      </c>
      <c r="D130" s="43" t="s">
        <v>80</v>
      </c>
      <c r="E130" s="44"/>
      <c r="F130" s="44"/>
      <c r="G130" s="44"/>
      <c r="H130" s="44"/>
      <c r="I130" s="45"/>
      <c r="J130" s="3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4"/>
    </row>
    <row r="131" spans="2:122" x14ac:dyDescent="0.25">
      <c r="B131" s="1"/>
      <c r="C131" s="33"/>
      <c r="D131" s="34"/>
      <c r="E131" s="34"/>
      <c r="F131" s="34"/>
      <c r="G131" s="34"/>
      <c r="H131" s="34"/>
      <c r="I131" s="3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4"/>
    </row>
    <row r="132" spans="2:122" ht="26.25" x14ac:dyDescent="0.25">
      <c r="B132" s="1"/>
      <c r="C132" s="33"/>
      <c r="D132" s="36" t="s">
        <v>42</v>
      </c>
      <c r="E132" s="36" t="s">
        <v>43</v>
      </c>
      <c r="F132" s="36" t="s">
        <v>44</v>
      </c>
      <c r="G132" s="36" t="s">
        <v>45</v>
      </c>
      <c r="H132" s="36" t="s">
        <v>46</v>
      </c>
      <c r="I132" s="3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4"/>
    </row>
    <row r="133" spans="2:122" x14ac:dyDescent="0.25">
      <c r="B133" s="1"/>
      <c r="C133" s="33"/>
      <c r="D133" s="37"/>
      <c r="E133" s="37"/>
      <c r="F133" s="37"/>
      <c r="G133" s="37"/>
      <c r="H133" s="37"/>
      <c r="I133" s="35"/>
      <c r="J133">
        <f>IF(D133="x",5,0)</f>
        <v>0</v>
      </c>
      <c r="K133">
        <f>IF(E133="x",4,0)</f>
        <v>0</v>
      </c>
      <c r="L133">
        <f>IF(F133="x",3,0)</f>
        <v>0</v>
      </c>
      <c r="M133">
        <f>IF(G133="x",2,0)</f>
        <v>0</v>
      </c>
      <c r="N133">
        <f>IF(H133="x",1,0)</f>
        <v>0</v>
      </c>
      <c r="O133" s="3" t="str">
        <f>IF(Q133="",SUM(J133:N133),"falso")</f>
        <v>falso</v>
      </c>
      <c r="P133">
        <f>COUNTIF(D133:H133,"x")</f>
        <v>0</v>
      </c>
      <c r="Q133" s="38" t="str">
        <f>IF(P133&lt;1,"error",IF(P133&gt;1,"error",""))</f>
        <v>error</v>
      </c>
      <c r="R133" s="38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4"/>
    </row>
    <row r="134" spans="2:122" ht="15.75" thickBot="1" x14ac:dyDescent="0.3">
      <c r="B134" s="1"/>
      <c r="C134" s="39"/>
      <c r="D134" s="40">
        <v>5</v>
      </c>
      <c r="E134" s="40">
        <v>4</v>
      </c>
      <c r="F134" s="40">
        <v>3</v>
      </c>
      <c r="G134" s="40">
        <v>2</v>
      </c>
      <c r="H134" s="40">
        <v>1</v>
      </c>
      <c r="I134" s="4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4"/>
    </row>
    <row r="135" spans="2:122" ht="15.75" thickBot="1" x14ac:dyDescent="0.3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4"/>
    </row>
    <row r="136" spans="2:122" x14ac:dyDescent="0.25">
      <c r="B136" s="1"/>
      <c r="C136" s="31" t="s">
        <v>81</v>
      </c>
      <c r="D136" s="43" t="s">
        <v>82</v>
      </c>
      <c r="E136" s="44"/>
      <c r="F136" s="44"/>
      <c r="G136" s="44"/>
      <c r="H136" s="44"/>
      <c r="I136" s="45"/>
      <c r="J136" s="3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4"/>
    </row>
    <row r="137" spans="2:122" x14ac:dyDescent="0.25">
      <c r="B137" s="1"/>
      <c r="C137" s="33"/>
      <c r="D137" s="34"/>
      <c r="E137" s="34"/>
      <c r="F137" s="34"/>
      <c r="G137" s="34"/>
      <c r="H137" s="34"/>
      <c r="I137" s="3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4"/>
    </row>
    <row r="138" spans="2:122" ht="26.25" x14ac:dyDescent="0.25">
      <c r="B138" s="1"/>
      <c r="C138" s="33"/>
      <c r="D138" s="36" t="s">
        <v>42</v>
      </c>
      <c r="E138" s="36" t="s">
        <v>43</v>
      </c>
      <c r="F138" s="36" t="s">
        <v>44</v>
      </c>
      <c r="G138" s="36" t="s">
        <v>45</v>
      </c>
      <c r="H138" s="36" t="s">
        <v>46</v>
      </c>
      <c r="I138" s="3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4"/>
    </row>
    <row r="139" spans="2:122" x14ac:dyDescent="0.25">
      <c r="B139" s="1"/>
      <c r="C139" s="33"/>
      <c r="D139" s="37"/>
      <c r="E139" s="37"/>
      <c r="F139" s="37"/>
      <c r="G139" s="37"/>
      <c r="H139" s="37"/>
      <c r="I139" s="35"/>
      <c r="J139">
        <f>IF(D139="x",5,0)</f>
        <v>0</v>
      </c>
      <c r="K139">
        <f>IF(E139="x",4,0)</f>
        <v>0</v>
      </c>
      <c r="L139">
        <f>IF(F139="x",3,0)</f>
        <v>0</v>
      </c>
      <c r="M139">
        <f>IF(G139="x",2,0)</f>
        <v>0</v>
      </c>
      <c r="N139">
        <f>IF(H139="x",1,0)</f>
        <v>0</v>
      </c>
      <c r="O139" s="3" t="str">
        <f>IF(Q139="",SUM(J139:N139),"falso")</f>
        <v>falso</v>
      </c>
      <c r="P139">
        <f>COUNTIF(D139:H139,"x")</f>
        <v>0</v>
      </c>
      <c r="Q139" s="38" t="str">
        <f>IF(P139&lt;1,"error",IF(P139&gt;1,"error",""))</f>
        <v>error</v>
      </c>
      <c r="R139" s="38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4"/>
    </row>
    <row r="140" spans="2:122" ht="15.75" thickBot="1" x14ac:dyDescent="0.3">
      <c r="B140" s="1"/>
      <c r="C140" s="39"/>
      <c r="D140" s="40">
        <v>5</v>
      </c>
      <c r="E140" s="40">
        <v>4</v>
      </c>
      <c r="F140" s="40">
        <v>3</v>
      </c>
      <c r="G140" s="40">
        <v>2</v>
      </c>
      <c r="H140" s="40">
        <v>1</v>
      </c>
      <c r="I140" s="4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4"/>
    </row>
    <row r="141" spans="2:122" ht="15.75" thickBot="1" x14ac:dyDescent="0.3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4"/>
    </row>
    <row r="142" spans="2:122" x14ac:dyDescent="0.25">
      <c r="B142" s="1"/>
      <c r="C142" s="31" t="s">
        <v>83</v>
      </c>
      <c r="D142" s="43" t="s">
        <v>84</v>
      </c>
      <c r="E142" s="44"/>
      <c r="F142" s="44"/>
      <c r="G142" s="44"/>
      <c r="H142" s="44"/>
      <c r="I142" s="45"/>
      <c r="J142" s="3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4"/>
    </row>
    <row r="143" spans="2:122" x14ac:dyDescent="0.25">
      <c r="B143" s="1"/>
      <c r="C143" s="33"/>
      <c r="D143" s="34"/>
      <c r="E143" s="34"/>
      <c r="F143" s="34"/>
      <c r="G143" s="34"/>
      <c r="H143" s="34"/>
      <c r="I143" s="3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4"/>
    </row>
    <row r="144" spans="2:122" ht="26.25" x14ac:dyDescent="0.25">
      <c r="B144" s="1"/>
      <c r="C144" s="33"/>
      <c r="D144" s="36" t="s">
        <v>42</v>
      </c>
      <c r="E144" s="36" t="s">
        <v>43</v>
      </c>
      <c r="F144" s="36" t="s">
        <v>44</v>
      </c>
      <c r="G144" s="36" t="s">
        <v>45</v>
      </c>
      <c r="H144" s="36" t="s">
        <v>46</v>
      </c>
      <c r="I144" s="3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4"/>
    </row>
    <row r="145" spans="2:122" x14ac:dyDescent="0.25">
      <c r="B145" s="1"/>
      <c r="C145" s="33"/>
      <c r="D145" s="37"/>
      <c r="E145" s="37"/>
      <c r="F145" s="37"/>
      <c r="G145" s="37"/>
      <c r="H145" s="37"/>
      <c r="I145" s="35"/>
      <c r="J145">
        <f>IF(D145="x",5,0)</f>
        <v>0</v>
      </c>
      <c r="K145">
        <f>IF(E145="x",4,0)</f>
        <v>0</v>
      </c>
      <c r="L145">
        <f>IF(F145="x",3,0)</f>
        <v>0</v>
      </c>
      <c r="M145">
        <f>IF(G145="x",2,0)</f>
        <v>0</v>
      </c>
      <c r="N145">
        <f>IF(H145="x",1,0)</f>
        <v>0</v>
      </c>
      <c r="O145" s="3" t="str">
        <f>IF(Q145="",SUM(J145:N145),"falso")</f>
        <v>falso</v>
      </c>
      <c r="P145">
        <f>COUNTIF(D145:H145,"x")</f>
        <v>0</v>
      </c>
      <c r="Q145" s="38" t="str">
        <f>IF(P145&lt;1,"error",IF(P145&gt;1,"error",""))</f>
        <v>error</v>
      </c>
      <c r="R145" s="3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4"/>
    </row>
    <row r="146" spans="2:122" ht="15.75" thickBot="1" x14ac:dyDescent="0.3">
      <c r="B146" s="1"/>
      <c r="C146" s="39"/>
      <c r="D146" s="40">
        <v>5</v>
      </c>
      <c r="E146" s="40">
        <v>4</v>
      </c>
      <c r="F146" s="40">
        <v>3</v>
      </c>
      <c r="G146" s="40">
        <v>2</v>
      </c>
      <c r="H146" s="40">
        <v>1</v>
      </c>
      <c r="I146" s="4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4"/>
    </row>
    <row r="147" spans="2:122" ht="15.75" thickBot="1" x14ac:dyDescent="0.3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4"/>
    </row>
    <row r="148" spans="2:122" x14ac:dyDescent="0.25">
      <c r="B148" s="1"/>
      <c r="C148" s="31" t="s">
        <v>85</v>
      </c>
      <c r="D148" s="43" t="s">
        <v>86</v>
      </c>
      <c r="E148" s="44"/>
      <c r="F148" s="44"/>
      <c r="G148" s="44"/>
      <c r="H148" s="44"/>
      <c r="I148" s="45"/>
      <c r="J148" s="3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4"/>
    </row>
    <row r="149" spans="2:122" x14ac:dyDescent="0.25">
      <c r="B149" s="1"/>
      <c r="C149" s="33"/>
      <c r="D149" s="34"/>
      <c r="E149" s="34"/>
      <c r="F149" s="34"/>
      <c r="G149" s="34"/>
      <c r="H149" s="34"/>
      <c r="I149" s="3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4"/>
    </row>
    <row r="150" spans="2:122" ht="26.25" x14ac:dyDescent="0.25">
      <c r="B150" s="1"/>
      <c r="C150" s="33"/>
      <c r="D150" s="36" t="s">
        <v>42</v>
      </c>
      <c r="E150" s="36" t="s">
        <v>43</v>
      </c>
      <c r="F150" s="36" t="s">
        <v>44</v>
      </c>
      <c r="G150" s="36" t="s">
        <v>45</v>
      </c>
      <c r="H150" s="36" t="s">
        <v>46</v>
      </c>
      <c r="I150" s="3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4"/>
    </row>
    <row r="151" spans="2:122" x14ac:dyDescent="0.25">
      <c r="B151" s="1"/>
      <c r="C151" s="33"/>
      <c r="D151" s="37"/>
      <c r="E151" s="37"/>
      <c r="F151" s="37"/>
      <c r="G151" s="37"/>
      <c r="H151" s="37"/>
      <c r="I151" s="35"/>
      <c r="J151">
        <f>IF(D151="x",5,0)</f>
        <v>0</v>
      </c>
      <c r="K151">
        <f>IF(E151="x",4,0)</f>
        <v>0</v>
      </c>
      <c r="L151">
        <f>IF(F151="x",3,0)</f>
        <v>0</v>
      </c>
      <c r="M151">
        <f>IF(G151="x",2,0)</f>
        <v>0</v>
      </c>
      <c r="N151">
        <f>IF(H151="x",1,0)</f>
        <v>0</v>
      </c>
      <c r="O151" s="3" t="str">
        <f>IF(Q151="",SUM(J151:N151),"falso")</f>
        <v>falso</v>
      </c>
      <c r="P151">
        <f>COUNTIF(D151:H151,"x")</f>
        <v>0</v>
      </c>
      <c r="Q151" s="38" t="str">
        <f>IF(P151&lt;1,"error",IF(P151&gt;1,"error",""))</f>
        <v>error</v>
      </c>
      <c r="R151" s="3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4"/>
    </row>
    <row r="152" spans="2:122" ht="15.75" thickBot="1" x14ac:dyDescent="0.3">
      <c r="B152" s="1"/>
      <c r="C152" s="39"/>
      <c r="D152" s="40">
        <v>5</v>
      </c>
      <c r="E152" s="40">
        <v>4</v>
      </c>
      <c r="F152" s="40">
        <v>3</v>
      </c>
      <c r="G152" s="40">
        <v>2</v>
      </c>
      <c r="H152" s="40">
        <v>1</v>
      </c>
      <c r="I152" s="4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4"/>
    </row>
    <row r="153" spans="2:122" ht="15.75" thickBot="1" x14ac:dyDescent="0.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4"/>
    </row>
    <row r="154" spans="2:122" x14ac:dyDescent="0.25">
      <c r="B154" s="1"/>
      <c r="C154" s="31" t="s">
        <v>87</v>
      </c>
      <c r="D154" s="43" t="s">
        <v>88</v>
      </c>
      <c r="E154" s="44"/>
      <c r="F154" s="44"/>
      <c r="G154" s="44"/>
      <c r="H154" s="44"/>
      <c r="I154" s="45"/>
      <c r="J154" s="3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4"/>
    </row>
    <row r="155" spans="2:122" x14ac:dyDescent="0.25">
      <c r="B155" s="1"/>
      <c r="C155" s="33"/>
      <c r="D155" s="34"/>
      <c r="E155" s="34"/>
      <c r="F155" s="34"/>
      <c r="G155" s="34"/>
      <c r="H155" s="34"/>
      <c r="I155" s="3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4"/>
    </row>
    <row r="156" spans="2:122" ht="26.25" x14ac:dyDescent="0.25">
      <c r="B156" s="1"/>
      <c r="C156" s="33"/>
      <c r="D156" s="36" t="s">
        <v>42</v>
      </c>
      <c r="E156" s="36" t="s">
        <v>43</v>
      </c>
      <c r="F156" s="36" t="s">
        <v>44</v>
      </c>
      <c r="G156" s="36" t="s">
        <v>45</v>
      </c>
      <c r="H156" s="36" t="s">
        <v>46</v>
      </c>
      <c r="I156" s="3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4"/>
    </row>
    <row r="157" spans="2:122" x14ac:dyDescent="0.25">
      <c r="B157" s="1"/>
      <c r="C157" s="33"/>
      <c r="D157" s="37"/>
      <c r="E157" s="37"/>
      <c r="F157" s="37"/>
      <c r="G157" s="37"/>
      <c r="H157" s="37"/>
      <c r="I157" s="35"/>
      <c r="J157">
        <f>IF(D157="x",5,0)</f>
        <v>0</v>
      </c>
      <c r="K157">
        <f>IF(E157="x",4,0)</f>
        <v>0</v>
      </c>
      <c r="L157">
        <f>IF(F157="x",3,0)</f>
        <v>0</v>
      </c>
      <c r="M157">
        <f>IF(G157="x",2,0)</f>
        <v>0</v>
      </c>
      <c r="N157">
        <f>IF(H157="x",1,0)</f>
        <v>0</v>
      </c>
      <c r="O157" s="3" t="str">
        <f>IF(Q157="",SUM(J157:N157),"falso")</f>
        <v>falso</v>
      </c>
      <c r="P157">
        <f>COUNTIF(D157:H157,"x")</f>
        <v>0</v>
      </c>
      <c r="Q157" s="38" t="str">
        <f>IF(P157&lt;1,"error",IF(P157&gt;1,"error",""))</f>
        <v>error</v>
      </c>
      <c r="R157" s="3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4"/>
    </row>
    <row r="158" spans="2:122" ht="15.75" thickBot="1" x14ac:dyDescent="0.3">
      <c r="B158" s="1"/>
      <c r="C158" s="39"/>
      <c r="D158" s="40">
        <v>5</v>
      </c>
      <c r="E158" s="40">
        <v>4</v>
      </c>
      <c r="F158" s="40">
        <v>3</v>
      </c>
      <c r="G158" s="40">
        <v>2</v>
      </c>
      <c r="H158" s="40">
        <v>1</v>
      </c>
      <c r="I158" s="41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4"/>
    </row>
    <row r="159" spans="2:122" ht="15.75" thickBot="1" x14ac:dyDescent="0.3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4"/>
    </row>
    <row r="160" spans="2:122" x14ac:dyDescent="0.25">
      <c r="B160" s="1"/>
      <c r="C160" s="31" t="s">
        <v>89</v>
      </c>
      <c r="D160" s="43" t="s">
        <v>90</v>
      </c>
      <c r="E160" s="44"/>
      <c r="F160" s="44"/>
      <c r="G160" s="44"/>
      <c r="H160" s="44"/>
      <c r="I160" s="45"/>
      <c r="J160" s="3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4"/>
    </row>
    <row r="161" spans="2:122" x14ac:dyDescent="0.25">
      <c r="B161" s="1"/>
      <c r="C161" s="33"/>
      <c r="D161" s="34"/>
      <c r="E161" s="34"/>
      <c r="F161" s="34"/>
      <c r="G161" s="34"/>
      <c r="H161" s="34"/>
      <c r="I161" s="3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4"/>
    </row>
    <row r="162" spans="2:122" ht="26.25" x14ac:dyDescent="0.25">
      <c r="B162" s="1"/>
      <c r="C162" s="33"/>
      <c r="D162" s="36" t="s">
        <v>42</v>
      </c>
      <c r="E162" s="36" t="s">
        <v>43</v>
      </c>
      <c r="F162" s="36" t="s">
        <v>44</v>
      </c>
      <c r="G162" s="36" t="s">
        <v>45</v>
      </c>
      <c r="H162" s="36" t="s">
        <v>46</v>
      </c>
      <c r="I162" s="3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4"/>
    </row>
    <row r="163" spans="2:122" x14ac:dyDescent="0.25">
      <c r="B163" s="1"/>
      <c r="C163" s="33"/>
      <c r="D163" s="37"/>
      <c r="E163" s="37"/>
      <c r="F163" s="37"/>
      <c r="G163" s="37"/>
      <c r="H163" s="37"/>
      <c r="I163" s="35"/>
      <c r="J163">
        <f>IF(D163="x",5,0)</f>
        <v>0</v>
      </c>
      <c r="K163">
        <f>IF(E163="x",4,0)</f>
        <v>0</v>
      </c>
      <c r="L163">
        <f>IF(F163="x",3,0)</f>
        <v>0</v>
      </c>
      <c r="M163">
        <f>IF(G163="x",2,0)</f>
        <v>0</v>
      </c>
      <c r="N163">
        <f>IF(H163="x",1,0)</f>
        <v>0</v>
      </c>
      <c r="O163" s="3" t="str">
        <f>IF(Q163="",SUM(J163:N163),"falso")</f>
        <v>falso</v>
      </c>
      <c r="P163">
        <f>COUNTIF(D163:H163,"x")</f>
        <v>0</v>
      </c>
      <c r="Q163" s="38" t="str">
        <f>IF(P163&lt;1,"error",IF(P163&gt;1,"error",""))</f>
        <v>error</v>
      </c>
      <c r="R163" s="3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4"/>
    </row>
    <row r="164" spans="2:122" ht="15.75" thickBot="1" x14ac:dyDescent="0.3">
      <c r="B164" s="1"/>
      <c r="C164" s="39"/>
      <c r="D164" s="40">
        <v>5</v>
      </c>
      <c r="E164" s="40">
        <v>4</v>
      </c>
      <c r="F164" s="40">
        <v>3</v>
      </c>
      <c r="G164" s="40">
        <v>2</v>
      </c>
      <c r="H164" s="40">
        <v>1</v>
      </c>
      <c r="I164" s="41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4"/>
    </row>
    <row r="165" spans="2:122" ht="15.75" thickBot="1" x14ac:dyDescent="0.3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4"/>
    </row>
    <row r="166" spans="2:122" x14ac:dyDescent="0.25">
      <c r="B166" s="1"/>
      <c r="C166" s="31" t="s">
        <v>91</v>
      </c>
      <c r="D166" s="43" t="s">
        <v>92</v>
      </c>
      <c r="E166" s="44"/>
      <c r="F166" s="44"/>
      <c r="G166" s="44"/>
      <c r="H166" s="44"/>
      <c r="I166" s="45"/>
      <c r="J166" s="3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4"/>
    </row>
    <row r="167" spans="2:122" x14ac:dyDescent="0.25">
      <c r="B167" s="1"/>
      <c r="C167" s="33"/>
      <c r="D167" s="34"/>
      <c r="E167" s="34"/>
      <c r="F167" s="34"/>
      <c r="G167" s="34"/>
      <c r="H167" s="34"/>
      <c r="I167" s="3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4"/>
    </row>
    <row r="168" spans="2:122" ht="26.25" x14ac:dyDescent="0.25">
      <c r="B168" s="1"/>
      <c r="C168" s="33"/>
      <c r="D168" s="36" t="s">
        <v>42</v>
      </c>
      <c r="E168" s="36" t="s">
        <v>43</v>
      </c>
      <c r="F168" s="36" t="s">
        <v>44</v>
      </c>
      <c r="G168" s="36" t="s">
        <v>45</v>
      </c>
      <c r="H168" s="36" t="s">
        <v>46</v>
      </c>
      <c r="I168" s="3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4"/>
    </row>
    <row r="169" spans="2:122" x14ac:dyDescent="0.25">
      <c r="B169" s="1"/>
      <c r="C169" s="33"/>
      <c r="D169" s="37"/>
      <c r="E169" s="37"/>
      <c r="F169" s="37"/>
      <c r="G169" s="37"/>
      <c r="H169" s="37"/>
      <c r="I169" s="35"/>
      <c r="J169">
        <f>IF(D169="x",5,0)</f>
        <v>0</v>
      </c>
      <c r="K169">
        <f>IF(E169="x",4,0)</f>
        <v>0</v>
      </c>
      <c r="L169">
        <f>IF(F169="x",3,0)</f>
        <v>0</v>
      </c>
      <c r="M169">
        <f>IF(G169="x",2,0)</f>
        <v>0</v>
      </c>
      <c r="N169">
        <f>IF(H169="x",1,0)</f>
        <v>0</v>
      </c>
      <c r="O169" s="3" t="str">
        <f>IF(Q169="",SUM(J169:N169),"falso")</f>
        <v>falso</v>
      </c>
      <c r="P169">
        <f>COUNTIF(D169:H169,"x")</f>
        <v>0</v>
      </c>
      <c r="Q169" s="38" t="str">
        <f>IF(P169&lt;1,"error",IF(P169&gt;1,"error",""))</f>
        <v>error</v>
      </c>
      <c r="R169" s="3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4"/>
    </row>
    <row r="170" spans="2:122" ht="15.75" thickBot="1" x14ac:dyDescent="0.3">
      <c r="B170" s="1"/>
      <c r="C170" s="39"/>
      <c r="D170" s="40">
        <v>5</v>
      </c>
      <c r="E170" s="40">
        <v>4</v>
      </c>
      <c r="F170" s="40">
        <v>3</v>
      </c>
      <c r="G170" s="40">
        <v>2</v>
      </c>
      <c r="H170" s="40">
        <v>1</v>
      </c>
      <c r="I170" s="41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4"/>
    </row>
    <row r="171" spans="2:122" ht="15.75" thickBot="1" x14ac:dyDescent="0.3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4"/>
    </row>
    <row r="172" spans="2:122" x14ac:dyDescent="0.25">
      <c r="B172" s="1"/>
      <c r="C172" s="31" t="s">
        <v>93</v>
      </c>
      <c r="D172" s="43" t="s">
        <v>94</v>
      </c>
      <c r="E172" s="44"/>
      <c r="F172" s="44"/>
      <c r="G172" s="44"/>
      <c r="H172" s="44"/>
      <c r="I172" s="45"/>
      <c r="J172" s="3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4"/>
    </row>
    <row r="173" spans="2:122" x14ac:dyDescent="0.25">
      <c r="B173" s="1"/>
      <c r="C173" s="33"/>
      <c r="D173" s="34"/>
      <c r="E173" s="34"/>
      <c r="F173" s="34"/>
      <c r="G173" s="34"/>
      <c r="H173" s="34"/>
      <c r="I173" s="3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4"/>
    </row>
    <row r="174" spans="2:122" ht="26.25" x14ac:dyDescent="0.25">
      <c r="B174" s="1"/>
      <c r="C174" s="33"/>
      <c r="D174" s="36" t="s">
        <v>42</v>
      </c>
      <c r="E174" s="36" t="s">
        <v>43</v>
      </c>
      <c r="F174" s="36" t="s">
        <v>44</v>
      </c>
      <c r="G174" s="36" t="s">
        <v>45</v>
      </c>
      <c r="H174" s="36" t="s">
        <v>46</v>
      </c>
      <c r="I174" s="3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4"/>
    </row>
    <row r="175" spans="2:122" x14ac:dyDescent="0.25">
      <c r="B175" s="1"/>
      <c r="C175" s="33"/>
      <c r="D175" s="37"/>
      <c r="E175" s="37"/>
      <c r="F175" s="37"/>
      <c r="G175" s="37"/>
      <c r="H175" s="37"/>
      <c r="I175" s="35"/>
      <c r="J175">
        <f>IF(D175="x",5,0)</f>
        <v>0</v>
      </c>
      <c r="K175">
        <f>IF(E175="x",4,0)</f>
        <v>0</v>
      </c>
      <c r="L175">
        <f>IF(F175="x",3,0)</f>
        <v>0</v>
      </c>
      <c r="M175">
        <f>IF(G175="x",2,0)</f>
        <v>0</v>
      </c>
      <c r="N175">
        <f>IF(H175="x",1,0)</f>
        <v>0</v>
      </c>
      <c r="O175" s="3" t="str">
        <f>IF(Q175="",SUM(J175:N175),"falso")</f>
        <v>falso</v>
      </c>
      <c r="P175">
        <f>COUNTIF(D175:H175,"x")</f>
        <v>0</v>
      </c>
      <c r="Q175" s="38" t="str">
        <f>IF(P175&lt;1,"error",IF(P175&gt;1,"error",""))</f>
        <v>error</v>
      </c>
      <c r="R175" s="3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4"/>
    </row>
    <row r="176" spans="2:122" ht="15.75" thickBot="1" x14ac:dyDescent="0.3">
      <c r="B176" s="1"/>
      <c r="C176" s="39"/>
      <c r="D176" s="40">
        <v>5</v>
      </c>
      <c r="E176" s="40">
        <v>4</v>
      </c>
      <c r="F176" s="40">
        <v>3</v>
      </c>
      <c r="G176" s="40">
        <v>2</v>
      </c>
      <c r="H176" s="40">
        <v>1</v>
      </c>
      <c r="I176" s="41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4"/>
    </row>
    <row r="177" spans="2:122" ht="15.75" thickBot="1" x14ac:dyDescent="0.3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4"/>
    </row>
    <row r="178" spans="2:122" x14ac:dyDescent="0.25">
      <c r="B178" s="1"/>
      <c r="C178" s="31" t="s">
        <v>95</v>
      </c>
      <c r="D178" s="43" t="s">
        <v>96</v>
      </c>
      <c r="E178" s="44"/>
      <c r="F178" s="44"/>
      <c r="G178" s="44"/>
      <c r="H178" s="44"/>
      <c r="I178" s="45"/>
      <c r="J178" s="3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4"/>
    </row>
    <row r="179" spans="2:122" x14ac:dyDescent="0.25">
      <c r="B179" s="1"/>
      <c r="C179" s="33"/>
      <c r="D179" s="34"/>
      <c r="E179" s="34"/>
      <c r="F179" s="34"/>
      <c r="G179" s="34"/>
      <c r="H179" s="34"/>
      <c r="I179" s="3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4"/>
    </row>
    <row r="180" spans="2:122" ht="26.25" x14ac:dyDescent="0.25">
      <c r="B180" s="1"/>
      <c r="C180" s="33"/>
      <c r="D180" s="36" t="s">
        <v>42</v>
      </c>
      <c r="E180" s="36" t="s">
        <v>43</v>
      </c>
      <c r="F180" s="36" t="s">
        <v>44</v>
      </c>
      <c r="G180" s="36" t="s">
        <v>45</v>
      </c>
      <c r="H180" s="36" t="s">
        <v>46</v>
      </c>
      <c r="I180" s="3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4"/>
    </row>
    <row r="181" spans="2:122" x14ac:dyDescent="0.25">
      <c r="B181" s="1"/>
      <c r="C181" s="33"/>
      <c r="D181" s="37"/>
      <c r="E181" s="37"/>
      <c r="F181" s="37"/>
      <c r="G181" s="37"/>
      <c r="H181" s="37"/>
      <c r="I181" s="35"/>
      <c r="J181">
        <f>IF(D181="x",5,0)</f>
        <v>0</v>
      </c>
      <c r="K181">
        <f>IF(E181="x",4,0)</f>
        <v>0</v>
      </c>
      <c r="L181">
        <f>IF(F181="x",3,0)</f>
        <v>0</v>
      </c>
      <c r="M181">
        <f>IF(G181="x",2,0)</f>
        <v>0</v>
      </c>
      <c r="N181">
        <f>IF(H181="x",1,0)</f>
        <v>0</v>
      </c>
      <c r="O181" s="3" t="str">
        <f>IF(Q181="",SUM(J181:N181),"falso")</f>
        <v>falso</v>
      </c>
      <c r="P181">
        <f>COUNTIF(D181:H181,"x")</f>
        <v>0</v>
      </c>
      <c r="Q181" s="38" t="str">
        <f>IF(P181&lt;1,"error",IF(P181&gt;1,"error",""))</f>
        <v>error</v>
      </c>
      <c r="R181" s="3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4"/>
    </row>
    <row r="182" spans="2:122" ht="15.75" thickBot="1" x14ac:dyDescent="0.3">
      <c r="B182" s="1"/>
      <c r="C182" s="39"/>
      <c r="D182" s="40">
        <v>5</v>
      </c>
      <c r="E182" s="40">
        <v>4</v>
      </c>
      <c r="F182" s="40">
        <v>3</v>
      </c>
      <c r="G182" s="40">
        <v>2</v>
      </c>
      <c r="H182" s="40">
        <v>1</v>
      </c>
      <c r="I182" s="41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4"/>
    </row>
    <row r="183" spans="2:122" ht="15.75" thickBot="1" x14ac:dyDescent="0.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4"/>
    </row>
    <row r="184" spans="2:122" x14ac:dyDescent="0.25">
      <c r="B184" s="1"/>
      <c r="C184" s="31" t="s">
        <v>97</v>
      </c>
      <c r="D184" s="43" t="s">
        <v>98</v>
      </c>
      <c r="E184" s="44"/>
      <c r="F184" s="44"/>
      <c r="G184" s="44"/>
      <c r="H184" s="44"/>
      <c r="I184" s="45"/>
      <c r="J184" s="3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4"/>
    </row>
    <row r="185" spans="2:122" x14ac:dyDescent="0.25">
      <c r="B185" s="1"/>
      <c r="C185" s="33"/>
      <c r="D185" s="34"/>
      <c r="E185" s="34"/>
      <c r="F185" s="34"/>
      <c r="G185" s="34"/>
      <c r="H185" s="34"/>
      <c r="I185" s="3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4"/>
    </row>
    <row r="186" spans="2:122" ht="26.25" x14ac:dyDescent="0.25">
      <c r="B186" s="1"/>
      <c r="C186" s="33"/>
      <c r="D186" s="36" t="s">
        <v>42</v>
      </c>
      <c r="E186" s="36" t="s">
        <v>43</v>
      </c>
      <c r="F186" s="36" t="s">
        <v>44</v>
      </c>
      <c r="G186" s="36" t="s">
        <v>45</v>
      </c>
      <c r="H186" s="36" t="s">
        <v>46</v>
      </c>
      <c r="I186" s="3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4"/>
    </row>
    <row r="187" spans="2:122" x14ac:dyDescent="0.25">
      <c r="B187" s="1"/>
      <c r="C187" s="33"/>
      <c r="D187" s="37"/>
      <c r="E187" s="37"/>
      <c r="F187" s="37"/>
      <c r="G187" s="37"/>
      <c r="H187" s="37"/>
      <c r="I187" s="35"/>
      <c r="J187">
        <f>IF(D187="x",5,0)</f>
        <v>0</v>
      </c>
      <c r="K187">
        <f>IF(E187="x",4,0)</f>
        <v>0</v>
      </c>
      <c r="L187">
        <f>IF(F187="x",3,0)</f>
        <v>0</v>
      </c>
      <c r="M187">
        <f>IF(G187="x",2,0)</f>
        <v>0</v>
      </c>
      <c r="N187">
        <f>IF(H187="x",1,0)</f>
        <v>0</v>
      </c>
      <c r="O187" s="3" t="str">
        <f>IF(Q187="",SUM(J187:N187),"falso")</f>
        <v>falso</v>
      </c>
      <c r="P187">
        <f>COUNTIF(D187:H187,"x")</f>
        <v>0</v>
      </c>
      <c r="Q187" s="38" t="str">
        <f>IF(P187&lt;1,"error",IF(P187&gt;1,"error",""))</f>
        <v>error</v>
      </c>
      <c r="R187" s="3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4"/>
    </row>
    <row r="188" spans="2:122" ht="15.75" thickBot="1" x14ac:dyDescent="0.3">
      <c r="B188" s="1"/>
      <c r="C188" s="39"/>
      <c r="D188" s="40">
        <v>5</v>
      </c>
      <c r="E188" s="40">
        <v>4</v>
      </c>
      <c r="F188" s="40">
        <v>3</v>
      </c>
      <c r="G188" s="40">
        <v>2</v>
      </c>
      <c r="H188" s="40">
        <v>1</v>
      </c>
      <c r="I188" s="41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4"/>
    </row>
    <row r="189" spans="2:122" ht="15.75" thickBot="1" x14ac:dyDescent="0.3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4"/>
    </row>
    <row r="190" spans="2:122" x14ac:dyDescent="0.25">
      <c r="B190" s="1"/>
      <c r="C190" s="31" t="s">
        <v>99</v>
      </c>
      <c r="D190" s="43" t="s">
        <v>100</v>
      </c>
      <c r="E190" s="44"/>
      <c r="F190" s="44"/>
      <c r="G190" s="44"/>
      <c r="H190" s="44"/>
      <c r="I190" s="45"/>
      <c r="J190" s="3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4"/>
    </row>
    <row r="191" spans="2:122" x14ac:dyDescent="0.25">
      <c r="B191" s="1"/>
      <c r="C191" s="33"/>
      <c r="D191" s="34"/>
      <c r="E191" s="34"/>
      <c r="F191" s="34"/>
      <c r="G191" s="34"/>
      <c r="H191" s="34"/>
      <c r="I191" s="3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4"/>
    </row>
    <row r="192" spans="2:122" ht="26.25" x14ac:dyDescent="0.25">
      <c r="B192" s="1"/>
      <c r="C192" s="33"/>
      <c r="D192" s="36" t="s">
        <v>42</v>
      </c>
      <c r="E192" s="36" t="s">
        <v>43</v>
      </c>
      <c r="F192" s="36" t="s">
        <v>44</v>
      </c>
      <c r="G192" s="36" t="s">
        <v>45</v>
      </c>
      <c r="H192" s="36" t="s">
        <v>46</v>
      </c>
      <c r="I192" s="3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4"/>
    </row>
    <row r="193" spans="2:122" x14ac:dyDescent="0.25">
      <c r="B193" s="1"/>
      <c r="C193" s="33"/>
      <c r="D193" s="37"/>
      <c r="E193" s="37"/>
      <c r="F193" s="37"/>
      <c r="G193" s="37"/>
      <c r="H193" s="37"/>
      <c r="I193" s="35"/>
      <c r="J193">
        <f>IF(D193="x",5,0)</f>
        <v>0</v>
      </c>
      <c r="K193">
        <f>IF(E193="x",4,0)</f>
        <v>0</v>
      </c>
      <c r="L193">
        <f>IF(F193="x",3,0)</f>
        <v>0</v>
      </c>
      <c r="M193">
        <f>IF(G193="x",2,0)</f>
        <v>0</v>
      </c>
      <c r="N193">
        <f>IF(H193="x",1,0)</f>
        <v>0</v>
      </c>
      <c r="O193" s="3" t="str">
        <f>IF(Q193="",SUM(J193:N193),"falso")</f>
        <v>falso</v>
      </c>
      <c r="P193">
        <f>COUNTIF(D193:H193,"x")</f>
        <v>0</v>
      </c>
      <c r="Q193" s="38" t="str">
        <f>IF(P193&lt;1,"error",IF(P193&gt;1,"error",""))</f>
        <v>error</v>
      </c>
      <c r="R193" s="3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4"/>
    </row>
    <row r="194" spans="2:122" ht="15.75" thickBot="1" x14ac:dyDescent="0.3">
      <c r="B194" s="1"/>
      <c r="C194" s="39"/>
      <c r="D194" s="40">
        <v>5</v>
      </c>
      <c r="E194" s="40">
        <v>4</v>
      </c>
      <c r="F194" s="40">
        <v>3</v>
      </c>
      <c r="G194" s="40">
        <v>2</v>
      </c>
      <c r="H194" s="40">
        <v>1</v>
      </c>
      <c r="I194" s="41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4"/>
    </row>
    <row r="195" spans="2:122" ht="15.75" thickBot="1" x14ac:dyDescent="0.3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4"/>
    </row>
    <row r="196" spans="2:122" x14ac:dyDescent="0.25">
      <c r="B196" s="1"/>
      <c r="C196" s="31" t="s">
        <v>101</v>
      </c>
      <c r="D196" s="43" t="s">
        <v>102</v>
      </c>
      <c r="E196" s="44"/>
      <c r="F196" s="44"/>
      <c r="G196" s="44"/>
      <c r="H196" s="44"/>
      <c r="I196" s="45"/>
      <c r="J196" s="3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4"/>
    </row>
    <row r="197" spans="2:122" x14ac:dyDescent="0.25">
      <c r="B197" s="1"/>
      <c r="C197" s="33"/>
      <c r="D197" s="34"/>
      <c r="E197" s="34"/>
      <c r="F197" s="34"/>
      <c r="G197" s="34"/>
      <c r="H197" s="34"/>
      <c r="I197" s="3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4"/>
    </row>
    <row r="198" spans="2:122" ht="26.25" x14ac:dyDescent="0.25">
      <c r="B198" s="1"/>
      <c r="C198" s="33"/>
      <c r="D198" s="36" t="s">
        <v>42</v>
      </c>
      <c r="E198" s="36" t="s">
        <v>43</v>
      </c>
      <c r="F198" s="36" t="s">
        <v>44</v>
      </c>
      <c r="G198" s="36" t="s">
        <v>45</v>
      </c>
      <c r="H198" s="36" t="s">
        <v>46</v>
      </c>
      <c r="I198" s="3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4"/>
    </row>
    <row r="199" spans="2:122" x14ac:dyDescent="0.25">
      <c r="B199" s="1"/>
      <c r="C199" s="33"/>
      <c r="D199" s="37"/>
      <c r="E199" s="37"/>
      <c r="F199" s="37"/>
      <c r="G199" s="37"/>
      <c r="H199" s="37"/>
      <c r="I199" s="35"/>
      <c r="J199">
        <f>IF(D199="x",5,0)</f>
        <v>0</v>
      </c>
      <c r="K199">
        <f>IF(E199="x",4,0)</f>
        <v>0</v>
      </c>
      <c r="L199">
        <f>IF(F199="x",3,0)</f>
        <v>0</v>
      </c>
      <c r="M199">
        <f>IF(G199="x",2,0)</f>
        <v>0</v>
      </c>
      <c r="N199">
        <f>IF(H199="x",1,0)</f>
        <v>0</v>
      </c>
      <c r="O199" s="3" t="str">
        <f>IF(Q199="",SUM(J199:N199),"falso")</f>
        <v>falso</v>
      </c>
      <c r="P199">
        <f>COUNTIF(D199:H199,"x")</f>
        <v>0</v>
      </c>
      <c r="Q199" s="38" t="str">
        <f>IF(P199&lt;1,"error",IF(P199&gt;1,"error",""))</f>
        <v>error</v>
      </c>
      <c r="R199" s="3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4"/>
    </row>
    <row r="200" spans="2:122" ht="15.75" thickBot="1" x14ac:dyDescent="0.3">
      <c r="B200" s="1"/>
      <c r="C200" s="39"/>
      <c r="D200" s="40">
        <v>5</v>
      </c>
      <c r="E200" s="40">
        <v>4</v>
      </c>
      <c r="F200" s="40">
        <v>3</v>
      </c>
      <c r="G200" s="40">
        <v>2</v>
      </c>
      <c r="H200" s="40">
        <v>1</v>
      </c>
      <c r="I200" s="41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4"/>
    </row>
    <row r="201" spans="2:122" ht="15.75" thickBot="1" x14ac:dyDescent="0.3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4"/>
    </row>
    <row r="202" spans="2:122" x14ac:dyDescent="0.25">
      <c r="B202" s="1"/>
      <c r="C202" s="31" t="s">
        <v>103</v>
      </c>
      <c r="D202" s="43" t="s">
        <v>104</v>
      </c>
      <c r="E202" s="44"/>
      <c r="F202" s="44"/>
      <c r="G202" s="44"/>
      <c r="H202" s="44"/>
      <c r="I202" s="45"/>
      <c r="J202" s="3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4"/>
    </row>
    <row r="203" spans="2:122" x14ac:dyDescent="0.25">
      <c r="B203" s="1"/>
      <c r="C203" s="33"/>
      <c r="D203" s="34"/>
      <c r="E203" s="34"/>
      <c r="F203" s="34"/>
      <c r="G203" s="34"/>
      <c r="H203" s="34"/>
      <c r="I203" s="3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4"/>
    </row>
    <row r="204" spans="2:122" ht="26.25" x14ac:dyDescent="0.25">
      <c r="B204" s="1"/>
      <c r="C204" s="33"/>
      <c r="D204" s="36" t="s">
        <v>42</v>
      </c>
      <c r="E204" s="36" t="s">
        <v>43</v>
      </c>
      <c r="F204" s="36" t="s">
        <v>44</v>
      </c>
      <c r="G204" s="36" t="s">
        <v>45</v>
      </c>
      <c r="H204" s="36" t="s">
        <v>46</v>
      </c>
      <c r="I204" s="3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4"/>
    </row>
    <row r="205" spans="2:122" x14ac:dyDescent="0.25">
      <c r="B205" s="1"/>
      <c r="C205" s="33"/>
      <c r="D205" s="37"/>
      <c r="E205" s="37"/>
      <c r="F205" s="37"/>
      <c r="G205" s="37"/>
      <c r="H205" s="37"/>
      <c r="I205" s="35"/>
      <c r="J205">
        <f>IF(D205="x",5,0)</f>
        <v>0</v>
      </c>
      <c r="K205">
        <f>IF(E205="x",4,0)</f>
        <v>0</v>
      </c>
      <c r="L205">
        <f>IF(F205="x",3,0)</f>
        <v>0</v>
      </c>
      <c r="M205">
        <f>IF(G205="x",2,0)</f>
        <v>0</v>
      </c>
      <c r="N205">
        <f>IF(H205="x",1,0)</f>
        <v>0</v>
      </c>
      <c r="O205" s="3" t="str">
        <f>IF(Q205="",SUM(J205:N205),"falso")</f>
        <v>falso</v>
      </c>
      <c r="P205">
        <f>COUNTIF(D205:H205,"x")</f>
        <v>0</v>
      </c>
      <c r="Q205" s="38" t="str">
        <f>IF(P205&lt;1,"error",IF(P205&gt;1,"error",""))</f>
        <v>error</v>
      </c>
      <c r="R205" s="3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4"/>
    </row>
    <row r="206" spans="2:122" ht="15.75" thickBot="1" x14ac:dyDescent="0.3">
      <c r="B206" s="1"/>
      <c r="C206" s="39"/>
      <c r="D206" s="40">
        <v>5</v>
      </c>
      <c r="E206" s="40">
        <v>4</v>
      </c>
      <c r="F206" s="40">
        <v>3</v>
      </c>
      <c r="G206" s="40">
        <v>2</v>
      </c>
      <c r="H206" s="40">
        <v>1</v>
      </c>
      <c r="I206" s="41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4"/>
    </row>
    <row r="207" spans="2:122" ht="15.75" thickBot="1" x14ac:dyDescent="0.3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4"/>
    </row>
    <row r="208" spans="2:122" x14ac:dyDescent="0.25">
      <c r="B208" s="1"/>
      <c r="C208" s="31" t="s">
        <v>105</v>
      </c>
      <c r="D208" s="43" t="s">
        <v>106</v>
      </c>
      <c r="E208" s="44"/>
      <c r="F208" s="44"/>
      <c r="G208" s="44"/>
      <c r="H208" s="44"/>
      <c r="I208" s="45"/>
      <c r="J208" s="3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4"/>
    </row>
    <row r="209" spans="2:122" x14ac:dyDescent="0.25">
      <c r="B209" s="1"/>
      <c r="C209" s="33"/>
      <c r="D209" s="34"/>
      <c r="E209" s="34"/>
      <c r="F209" s="34"/>
      <c r="G209" s="34"/>
      <c r="H209" s="34"/>
      <c r="I209" s="3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4"/>
    </row>
    <row r="210" spans="2:122" ht="26.25" x14ac:dyDescent="0.25">
      <c r="B210" s="1"/>
      <c r="C210" s="33"/>
      <c r="D210" s="36" t="s">
        <v>42</v>
      </c>
      <c r="E210" s="36" t="s">
        <v>43</v>
      </c>
      <c r="F210" s="36" t="s">
        <v>44</v>
      </c>
      <c r="G210" s="36" t="s">
        <v>45</v>
      </c>
      <c r="H210" s="36" t="s">
        <v>46</v>
      </c>
      <c r="I210" s="3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4"/>
    </row>
    <row r="211" spans="2:122" x14ac:dyDescent="0.25">
      <c r="B211" s="1"/>
      <c r="C211" s="33"/>
      <c r="D211" s="37"/>
      <c r="E211" s="37"/>
      <c r="F211" s="37"/>
      <c r="G211" s="37"/>
      <c r="H211" s="37"/>
      <c r="I211" s="35"/>
      <c r="J211">
        <f>IF(D211="x",5,0)</f>
        <v>0</v>
      </c>
      <c r="K211">
        <f>IF(E211="x",4,0)</f>
        <v>0</v>
      </c>
      <c r="L211">
        <f>IF(F211="x",3,0)</f>
        <v>0</v>
      </c>
      <c r="M211">
        <f>IF(G211="x",2,0)</f>
        <v>0</v>
      </c>
      <c r="N211">
        <f>IF(H211="x",1,0)</f>
        <v>0</v>
      </c>
      <c r="O211" s="3" t="str">
        <f>IF(Q211="",SUM(J211:N211),"falso")</f>
        <v>falso</v>
      </c>
      <c r="P211">
        <f>COUNTIF(D211:H211,"x")</f>
        <v>0</v>
      </c>
      <c r="Q211" s="38" t="str">
        <f>IF(P211&lt;1,"error",IF(P211&gt;1,"error",""))</f>
        <v>error</v>
      </c>
      <c r="R211" s="38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4"/>
    </row>
    <row r="212" spans="2:122" ht="15.75" thickBot="1" x14ac:dyDescent="0.3">
      <c r="B212" s="1"/>
      <c r="C212" s="39"/>
      <c r="D212" s="40">
        <v>5</v>
      </c>
      <c r="E212" s="40">
        <v>4</v>
      </c>
      <c r="F212" s="40">
        <v>3</v>
      </c>
      <c r="G212" s="40">
        <v>2</v>
      </c>
      <c r="H212" s="40">
        <v>1</v>
      </c>
      <c r="I212" s="41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4"/>
    </row>
    <row r="213" spans="2:122" ht="15.75" thickBot="1" x14ac:dyDescent="0.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4"/>
    </row>
    <row r="214" spans="2:122" x14ac:dyDescent="0.25">
      <c r="B214" s="1"/>
      <c r="C214" s="31" t="s">
        <v>107</v>
      </c>
      <c r="D214" s="43" t="s">
        <v>108</v>
      </c>
      <c r="E214" s="44"/>
      <c r="F214" s="44"/>
      <c r="G214" s="44"/>
      <c r="H214" s="44"/>
      <c r="I214" s="45"/>
      <c r="J214" s="3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4"/>
    </row>
    <row r="215" spans="2:122" x14ac:dyDescent="0.25">
      <c r="B215" s="1"/>
      <c r="C215" s="33"/>
      <c r="D215" s="34"/>
      <c r="E215" s="34"/>
      <c r="F215" s="34"/>
      <c r="G215" s="34"/>
      <c r="H215" s="34"/>
      <c r="I215" s="3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4"/>
    </row>
    <row r="216" spans="2:122" ht="26.25" x14ac:dyDescent="0.25">
      <c r="B216" s="1"/>
      <c r="C216" s="33"/>
      <c r="D216" s="36" t="s">
        <v>42</v>
      </c>
      <c r="E216" s="36" t="s">
        <v>43</v>
      </c>
      <c r="F216" s="36" t="s">
        <v>44</v>
      </c>
      <c r="G216" s="36" t="s">
        <v>45</v>
      </c>
      <c r="H216" s="36" t="s">
        <v>46</v>
      </c>
      <c r="I216" s="3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4"/>
    </row>
    <row r="217" spans="2:122" x14ac:dyDescent="0.25">
      <c r="B217" s="1"/>
      <c r="C217" s="33"/>
      <c r="D217" s="37"/>
      <c r="E217" s="37"/>
      <c r="F217" s="37"/>
      <c r="G217" s="37"/>
      <c r="H217" s="37"/>
      <c r="I217" s="35"/>
      <c r="J217">
        <f>IF(D217="x",5,0)</f>
        <v>0</v>
      </c>
      <c r="K217">
        <f>IF(E217="x",4,0)</f>
        <v>0</v>
      </c>
      <c r="L217">
        <f>IF(F217="x",3,0)</f>
        <v>0</v>
      </c>
      <c r="M217">
        <f>IF(G217="x",2,0)</f>
        <v>0</v>
      </c>
      <c r="N217">
        <f>IF(H217="x",1,0)</f>
        <v>0</v>
      </c>
      <c r="O217" s="3" t="str">
        <f>IF(Q217="",SUM(J217:N217),"falso")</f>
        <v>falso</v>
      </c>
      <c r="P217">
        <f>COUNTIF(D217:H217,"x")</f>
        <v>0</v>
      </c>
      <c r="Q217" s="38" t="str">
        <f>IF(P217&lt;1,"error",IF(P217&gt;1,"error",""))</f>
        <v>error</v>
      </c>
      <c r="R217" s="38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4"/>
    </row>
    <row r="218" spans="2:122" ht="15.75" thickBot="1" x14ac:dyDescent="0.3">
      <c r="B218" s="1"/>
      <c r="C218" s="39"/>
      <c r="D218" s="40">
        <v>5</v>
      </c>
      <c r="E218" s="40">
        <v>4</v>
      </c>
      <c r="F218" s="40">
        <v>3</v>
      </c>
      <c r="G218" s="40">
        <v>2</v>
      </c>
      <c r="H218" s="40">
        <v>1</v>
      </c>
      <c r="I218" s="41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4"/>
    </row>
    <row r="219" spans="2:122" ht="15.75" thickBot="1" x14ac:dyDescent="0.3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4"/>
    </row>
    <row r="220" spans="2:122" x14ac:dyDescent="0.25">
      <c r="B220" s="1"/>
      <c r="C220" s="31" t="s">
        <v>109</v>
      </c>
      <c r="D220" s="43" t="s">
        <v>110</v>
      </c>
      <c r="E220" s="44"/>
      <c r="F220" s="44"/>
      <c r="G220" s="44"/>
      <c r="H220" s="44"/>
      <c r="I220" s="45"/>
      <c r="J220" s="3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4"/>
    </row>
    <row r="221" spans="2:122" x14ac:dyDescent="0.25">
      <c r="B221" s="1"/>
      <c r="C221" s="33"/>
      <c r="D221" s="34"/>
      <c r="E221" s="34"/>
      <c r="F221" s="34"/>
      <c r="G221" s="34"/>
      <c r="H221" s="34"/>
      <c r="I221" s="3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4"/>
    </row>
    <row r="222" spans="2:122" ht="26.25" x14ac:dyDescent="0.25">
      <c r="B222" s="1"/>
      <c r="C222" s="33"/>
      <c r="D222" s="36" t="s">
        <v>42</v>
      </c>
      <c r="E222" s="36" t="s">
        <v>43</v>
      </c>
      <c r="F222" s="36" t="s">
        <v>44</v>
      </c>
      <c r="G222" s="36" t="s">
        <v>45</v>
      </c>
      <c r="H222" s="36" t="s">
        <v>46</v>
      </c>
      <c r="I222" s="3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4"/>
    </row>
    <row r="223" spans="2:122" x14ac:dyDescent="0.25">
      <c r="B223" s="1"/>
      <c r="C223" s="33"/>
      <c r="D223" s="37"/>
      <c r="E223" s="37"/>
      <c r="F223" s="37"/>
      <c r="G223" s="37"/>
      <c r="H223" s="37"/>
      <c r="I223" s="35"/>
      <c r="J223">
        <f>IF(D223="x",5,0)</f>
        <v>0</v>
      </c>
      <c r="K223">
        <f>IF(E223="x",4,0)</f>
        <v>0</v>
      </c>
      <c r="L223">
        <f>IF(F223="x",3,0)</f>
        <v>0</v>
      </c>
      <c r="M223">
        <f>IF(G223="x",2,0)</f>
        <v>0</v>
      </c>
      <c r="N223">
        <f>IF(H223="x",1,0)</f>
        <v>0</v>
      </c>
      <c r="O223" s="3" t="str">
        <f>IF(Q223="",SUM(J223:N223),"falso")</f>
        <v>falso</v>
      </c>
      <c r="P223">
        <f>COUNTIF(D223:H223,"x")</f>
        <v>0</v>
      </c>
      <c r="Q223" s="38" t="str">
        <f>IF(P223&lt;1,"error",IF(P223&gt;1,"error",""))</f>
        <v>error</v>
      </c>
      <c r="R223" s="38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4"/>
    </row>
    <row r="224" spans="2:122" ht="15.75" thickBot="1" x14ac:dyDescent="0.3">
      <c r="B224" s="1"/>
      <c r="C224" s="39"/>
      <c r="D224" s="40">
        <v>5</v>
      </c>
      <c r="E224" s="40">
        <v>4</v>
      </c>
      <c r="F224" s="40">
        <v>3</v>
      </c>
      <c r="G224" s="40">
        <v>2</v>
      </c>
      <c r="H224" s="40">
        <v>1</v>
      </c>
      <c r="I224" s="41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4"/>
    </row>
    <row r="225" spans="2:122" ht="15.75" thickBot="1" x14ac:dyDescent="0.3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4"/>
    </row>
    <row r="226" spans="2:122" x14ac:dyDescent="0.25">
      <c r="B226" s="1"/>
      <c r="C226" s="31" t="s">
        <v>111</v>
      </c>
      <c r="D226" s="43" t="s">
        <v>112</v>
      </c>
      <c r="E226" s="44"/>
      <c r="F226" s="44"/>
      <c r="G226" s="44"/>
      <c r="H226" s="44"/>
      <c r="I226" s="45"/>
      <c r="J226" s="3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4"/>
    </row>
    <row r="227" spans="2:122" x14ac:dyDescent="0.25">
      <c r="B227" s="1"/>
      <c r="C227" s="33"/>
      <c r="D227" s="34"/>
      <c r="E227" s="34"/>
      <c r="F227" s="34"/>
      <c r="G227" s="34"/>
      <c r="H227" s="34"/>
      <c r="I227" s="3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4"/>
    </row>
    <row r="228" spans="2:122" ht="26.25" x14ac:dyDescent="0.25">
      <c r="B228" s="1"/>
      <c r="C228" s="33"/>
      <c r="D228" s="36" t="s">
        <v>42</v>
      </c>
      <c r="E228" s="36" t="s">
        <v>43</v>
      </c>
      <c r="F228" s="36" t="s">
        <v>44</v>
      </c>
      <c r="G228" s="36" t="s">
        <v>45</v>
      </c>
      <c r="H228" s="36" t="s">
        <v>46</v>
      </c>
      <c r="I228" s="3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4"/>
    </row>
    <row r="229" spans="2:122" x14ac:dyDescent="0.25">
      <c r="B229" s="1"/>
      <c r="C229" s="33"/>
      <c r="D229" s="37"/>
      <c r="E229" s="37"/>
      <c r="F229" s="37"/>
      <c r="G229" s="37"/>
      <c r="H229" s="37"/>
      <c r="I229" s="35"/>
      <c r="J229">
        <f>IF(D229="x",5,0)</f>
        <v>0</v>
      </c>
      <c r="K229">
        <f>IF(E229="x",4,0)</f>
        <v>0</v>
      </c>
      <c r="L229">
        <f>IF(F229="x",3,0)</f>
        <v>0</v>
      </c>
      <c r="M229">
        <f>IF(G229="x",2,0)</f>
        <v>0</v>
      </c>
      <c r="N229">
        <f>IF(H229="x",1,0)</f>
        <v>0</v>
      </c>
      <c r="O229" s="3" t="str">
        <f>IF(Q229="",SUM(J229:N229),"falso")</f>
        <v>falso</v>
      </c>
      <c r="P229">
        <f>COUNTIF(D229:H229,"x")</f>
        <v>0</v>
      </c>
      <c r="Q229" s="38" t="str">
        <f>IF(P229&lt;1,"error",IF(P229&gt;1,"error",""))</f>
        <v>error</v>
      </c>
      <c r="R229" s="38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4"/>
    </row>
    <row r="230" spans="2:122" ht="15.75" thickBot="1" x14ac:dyDescent="0.3">
      <c r="B230" s="1"/>
      <c r="C230" s="39"/>
      <c r="D230" s="40">
        <v>5</v>
      </c>
      <c r="E230" s="40">
        <v>4</v>
      </c>
      <c r="F230" s="40">
        <v>3</v>
      </c>
      <c r="G230" s="40">
        <v>2</v>
      </c>
      <c r="H230" s="40">
        <v>1</v>
      </c>
      <c r="I230" s="41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4"/>
    </row>
    <row r="231" spans="2:122" ht="15.75" thickBot="1" x14ac:dyDescent="0.3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4"/>
    </row>
    <row r="232" spans="2:122" x14ac:dyDescent="0.25">
      <c r="B232" s="1"/>
      <c r="C232" s="31" t="s">
        <v>113</v>
      </c>
      <c r="D232" s="43" t="s">
        <v>114</v>
      </c>
      <c r="E232" s="44"/>
      <c r="F232" s="44"/>
      <c r="G232" s="44"/>
      <c r="H232" s="44"/>
      <c r="I232" s="45"/>
      <c r="J232" s="3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4"/>
    </row>
    <row r="233" spans="2:122" x14ac:dyDescent="0.25">
      <c r="B233" s="1"/>
      <c r="C233" s="33"/>
      <c r="D233" s="34"/>
      <c r="E233" s="34"/>
      <c r="F233" s="34"/>
      <c r="G233" s="34"/>
      <c r="H233" s="34"/>
      <c r="I233" s="3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4"/>
    </row>
    <row r="234" spans="2:122" ht="26.25" x14ac:dyDescent="0.25">
      <c r="B234" s="1"/>
      <c r="C234" s="33"/>
      <c r="D234" s="36" t="s">
        <v>42</v>
      </c>
      <c r="E234" s="36" t="s">
        <v>43</v>
      </c>
      <c r="F234" s="36" t="s">
        <v>44</v>
      </c>
      <c r="G234" s="36" t="s">
        <v>45</v>
      </c>
      <c r="H234" s="36" t="s">
        <v>46</v>
      </c>
      <c r="I234" s="3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4"/>
    </row>
    <row r="235" spans="2:122" x14ac:dyDescent="0.25">
      <c r="B235" s="1"/>
      <c r="C235" s="33"/>
      <c r="D235" s="37"/>
      <c r="E235" s="37"/>
      <c r="F235" s="37"/>
      <c r="G235" s="37"/>
      <c r="H235" s="37"/>
      <c r="I235" s="35"/>
      <c r="J235">
        <f>IF(D235="x",5,0)</f>
        <v>0</v>
      </c>
      <c r="K235">
        <f>IF(E235="x",4,0)</f>
        <v>0</v>
      </c>
      <c r="L235">
        <f>IF(F235="x",3,0)</f>
        <v>0</v>
      </c>
      <c r="M235">
        <f>IF(G235="x",2,0)</f>
        <v>0</v>
      </c>
      <c r="N235">
        <f>IF(H235="x",1,0)</f>
        <v>0</v>
      </c>
      <c r="O235" s="3" t="str">
        <f>IF(Q235="",SUM(J235:N235),"falso")</f>
        <v>falso</v>
      </c>
      <c r="P235">
        <f>COUNTIF(D235:H235,"x")</f>
        <v>0</v>
      </c>
      <c r="Q235" s="38" t="str">
        <f>IF(P235&lt;1,"error",IF(P235&gt;1,"error",""))</f>
        <v>error</v>
      </c>
      <c r="R235" s="38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4"/>
    </row>
    <row r="236" spans="2:122" ht="15.75" thickBot="1" x14ac:dyDescent="0.3">
      <c r="B236" s="1"/>
      <c r="C236" s="39"/>
      <c r="D236" s="40">
        <v>5</v>
      </c>
      <c r="E236" s="40">
        <v>4</v>
      </c>
      <c r="F236" s="40">
        <v>3</v>
      </c>
      <c r="G236" s="40">
        <v>2</v>
      </c>
      <c r="H236" s="40">
        <v>1</v>
      </c>
      <c r="I236" s="41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4"/>
    </row>
    <row r="237" spans="2:122" ht="15.75" thickBot="1" x14ac:dyDescent="0.3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4"/>
    </row>
    <row r="238" spans="2:122" x14ac:dyDescent="0.25">
      <c r="B238" s="1"/>
      <c r="C238" s="31" t="s">
        <v>115</v>
      </c>
      <c r="D238" s="43" t="s">
        <v>116</v>
      </c>
      <c r="E238" s="44"/>
      <c r="F238" s="44"/>
      <c r="G238" s="44"/>
      <c r="H238" s="44"/>
      <c r="I238" s="45"/>
      <c r="J238" s="3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4"/>
    </row>
    <row r="239" spans="2:122" x14ac:dyDescent="0.25">
      <c r="B239" s="1"/>
      <c r="C239" s="33"/>
      <c r="D239" s="34"/>
      <c r="E239" s="34"/>
      <c r="F239" s="34"/>
      <c r="G239" s="34"/>
      <c r="H239" s="34"/>
      <c r="I239" s="3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4"/>
    </row>
    <row r="240" spans="2:122" ht="26.25" x14ac:dyDescent="0.25">
      <c r="B240" s="1"/>
      <c r="C240" s="33"/>
      <c r="D240" s="36" t="s">
        <v>42</v>
      </c>
      <c r="E240" s="36" t="s">
        <v>43</v>
      </c>
      <c r="F240" s="36" t="s">
        <v>44</v>
      </c>
      <c r="G240" s="36" t="s">
        <v>45</v>
      </c>
      <c r="H240" s="36" t="s">
        <v>46</v>
      </c>
      <c r="I240" s="3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4"/>
    </row>
    <row r="241" spans="2:122" x14ac:dyDescent="0.25">
      <c r="B241" s="1"/>
      <c r="C241" s="33"/>
      <c r="D241" s="37"/>
      <c r="E241" s="37"/>
      <c r="F241" s="37"/>
      <c r="G241" s="37"/>
      <c r="H241" s="37"/>
      <c r="I241" s="35"/>
      <c r="J241">
        <f>IF(D241="x",5,0)</f>
        <v>0</v>
      </c>
      <c r="K241">
        <f>IF(E241="x",4,0)</f>
        <v>0</v>
      </c>
      <c r="L241">
        <f>IF(F241="x",3,0)</f>
        <v>0</v>
      </c>
      <c r="M241">
        <f>IF(G241="x",2,0)</f>
        <v>0</v>
      </c>
      <c r="N241">
        <f>IF(H241="x",1,0)</f>
        <v>0</v>
      </c>
      <c r="O241" s="3" t="str">
        <f>IF(Q241="",SUM(J241:N241),"falso")</f>
        <v>falso</v>
      </c>
      <c r="P241">
        <f>COUNTIF(D241:H241,"x")</f>
        <v>0</v>
      </c>
      <c r="Q241" s="38" t="str">
        <f>IF(P241&lt;1,"error",IF(P241&gt;1,"error",""))</f>
        <v>error</v>
      </c>
      <c r="R241" s="38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4"/>
    </row>
    <row r="242" spans="2:122" ht="15.75" thickBot="1" x14ac:dyDescent="0.3">
      <c r="B242" s="1"/>
      <c r="C242" s="39"/>
      <c r="D242" s="40">
        <v>5</v>
      </c>
      <c r="E242" s="40">
        <v>4</v>
      </c>
      <c r="F242" s="40">
        <v>3</v>
      </c>
      <c r="G242" s="40">
        <v>2</v>
      </c>
      <c r="H242" s="40">
        <v>1</v>
      </c>
      <c r="I242" s="41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4"/>
    </row>
    <row r="243" spans="2:122" ht="15.75" thickBot="1" x14ac:dyDescent="0.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4"/>
    </row>
    <row r="244" spans="2:122" x14ac:dyDescent="0.25">
      <c r="B244" s="1"/>
      <c r="C244" s="31" t="s">
        <v>117</v>
      </c>
      <c r="D244" s="43" t="s">
        <v>118</v>
      </c>
      <c r="E244" s="44"/>
      <c r="F244" s="44"/>
      <c r="G244" s="44"/>
      <c r="H244" s="44"/>
      <c r="I244" s="45"/>
      <c r="J244" s="3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4"/>
    </row>
    <row r="245" spans="2:122" x14ac:dyDescent="0.25">
      <c r="B245" s="1"/>
      <c r="C245" s="33"/>
      <c r="D245" s="34"/>
      <c r="E245" s="34"/>
      <c r="F245" s="34"/>
      <c r="G245" s="34"/>
      <c r="H245" s="34"/>
      <c r="I245" s="3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4"/>
    </row>
    <row r="246" spans="2:122" ht="26.25" x14ac:dyDescent="0.25">
      <c r="B246" s="1"/>
      <c r="C246" s="33"/>
      <c r="D246" s="36" t="s">
        <v>42</v>
      </c>
      <c r="E246" s="36" t="s">
        <v>43</v>
      </c>
      <c r="F246" s="36" t="s">
        <v>44</v>
      </c>
      <c r="G246" s="36" t="s">
        <v>45</v>
      </c>
      <c r="H246" s="36" t="s">
        <v>46</v>
      </c>
      <c r="I246" s="3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4"/>
    </row>
    <row r="247" spans="2:122" x14ac:dyDescent="0.25">
      <c r="B247" s="1"/>
      <c r="C247" s="33"/>
      <c r="D247" s="37"/>
      <c r="E247" s="37"/>
      <c r="F247" s="37"/>
      <c r="G247" s="37"/>
      <c r="H247" s="37"/>
      <c r="I247" s="35"/>
      <c r="J247">
        <f>IF(D247="x",5,0)</f>
        <v>0</v>
      </c>
      <c r="K247">
        <f>IF(E247="x",4,0)</f>
        <v>0</v>
      </c>
      <c r="L247">
        <f>IF(F247="x",3,0)</f>
        <v>0</v>
      </c>
      <c r="M247">
        <f>IF(G247="x",2,0)</f>
        <v>0</v>
      </c>
      <c r="N247">
        <f>IF(H247="x",1,0)</f>
        <v>0</v>
      </c>
      <c r="O247" s="3" t="str">
        <f>IF(Q247="",SUM(J247:N247),"falso")</f>
        <v>falso</v>
      </c>
      <c r="P247">
        <f>COUNTIF(D247:H247,"x")</f>
        <v>0</v>
      </c>
      <c r="Q247" s="38" t="str">
        <f>IF(P247&lt;1,"error",IF(P247&gt;1,"error",""))</f>
        <v>error</v>
      </c>
      <c r="R247" s="38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4"/>
    </row>
    <row r="248" spans="2:122" ht="15.75" thickBot="1" x14ac:dyDescent="0.3">
      <c r="B248" s="1"/>
      <c r="C248" s="39"/>
      <c r="D248" s="40">
        <v>5</v>
      </c>
      <c r="E248" s="40">
        <v>4</v>
      </c>
      <c r="F248" s="40">
        <v>3</v>
      </c>
      <c r="G248" s="40">
        <v>2</v>
      </c>
      <c r="H248" s="40">
        <v>1</v>
      </c>
      <c r="I248" s="41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4"/>
    </row>
    <row r="249" spans="2:122" ht="15.75" thickBot="1" x14ac:dyDescent="0.3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4"/>
    </row>
    <row r="250" spans="2:122" x14ac:dyDescent="0.25">
      <c r="B250" s="1"/>
      <c r="C250" s="31" t="s">
        <v>119</v>
      </c>
      <c r="D250" s="43" t="s">
        <v>120</v>
      </c>
      <c r="E250" s="44"/>
      <c r="F250" s="44"/>
      <c r="G250" s="44"/>
      <c r="H250" s="44"/>
      <c r="I250" s="45"/>
      <c r="J250" s="3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4"/>
    </row>
    <row r="251" spans="2:122" x14ac:dyDescent="0.25">
      <c r="B251" s="1"/>
      <c r="C251" s="33"/>
      <c r="D251" s="34"/>
      <c r="E251" s="34"/>
      <c r="F251" s="34"/>
      <c r="G251" s="34"/>
      <c r="H251" s="34"/>
      <c r="I251" s="3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4"/>
    </row>
    <row r="252" spans="2:122" ht="26.25" x14ac:dyDescent="0.25">
      <c r="B252" s="1"/>
      <c r="C252" s="33"/>
      <c r="D252" s="36" t="s">
        <v>42</v>
      </c>
      <c r="E252" s="36" t="s">
        <v>43</v>
      </c>
      <c r="F252" s="36" t="s">
        <v>44</v>
      </c>
      <c r="G252" s="36" t="s">
        <v>45</v>
      </c>
      <c r="H252" s="36" t="s">
        <v>46</v>
      </c>
      <c r="I252" s="3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4"/>
    </row>
    <row r="253" spans="2:122" x14ac:dyDescent="0.25">
      <c r="B253" s="1"/>
      <c r="C253" s="33"/>
      <c r="D253" s="37"/>
      <c r="E253" s="37"/>
      <c r="F253" s="37"/>
      <c r="G253" s="37"/>
      <c r="H253" s="37"/>
      <c r="I253" s="35"/>
      <c r="J253">
        <f>IF(D253="x",5,0)</f>
        <v>0</v>
      </c>
      <c r="K253">
        <f>IF(E253="x",4,0)</f>
        <v>0</v>
      </c>
      <c r="L253">
        <f>IF(F253="x",3,0)</f>
        <v>0</v>
      </c>
      <c r="M253">
        <f>IF(G253="x",2,0)</f>
        <v>0</v>
      </c>
      <c r="N253">
        <f>IF(H253="x",1,0)</f>
        <v>0</v>
      </c>
      <c r="O253" s="3" t="str">
        <f>IF(Q253="",SUM(J253:N253),"falso")</f>
        <v>falso</v>
      </c>
      <c r="P253">
        <f>COUNTIF(D253:H253,"x")</f>
        <v>0</v>
      </c>
      <c r="Q253" s="38" t="str">
        <f>IF(P253&lt;1,"error",IF(P253&gt;1,"error",""))</f>
        <v>error</v>
      </c>
      <c r="R253" s="3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4"/>
    </row>
    <row r="254" spans="2:122" ht="15.75" thickBot="1" x14ac:dyDescent="0.3">
      <c r="B254" s="1"/>
      <c r="C254" s="39"/>
      <c r="D254" s="40">
        <v>5</v>
      </c>
      <c r="E254" s="40">
        <v>4</v>
      </c>
      <c r="F254" s="40">
        <v>3</v>
      </c>
      <c r="G254" s="40">
        <v>2</v>
      </c>
      <c r="H254" s="40">
        <v>1</v>
      </c>
      <c r="I254" s="41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4"/>
    </row>
    <row r="255" spans="2:122" ht="15.75" thickBot="1" x14ac:dyDescent="0.3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4"/>
    </row>
    <row r="256" spans="2:122" x14ac:dyDescent="0.25">
      <c r="B256" s="1"/>
      <c r="C256" s="31" t="s">
        <v>121</v>
      </c>
      <c r="D256" s="43" t="s">
        <v>122</v>
      </c>
      <c r="E256" s="44"/>
      <c r="F256" s="44"/>
      <c r="G256" s="44"/>
      <c r="H256" s="44"/>
      <c r="I256" s="45"/>
      <c r="J256" s="3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4"/>
    </row>
    <row r="257" spans="2:122" x14ac:dyDescent="0.25">
      <c r="B257" s="1"/>
      <c r="C257" s="33"/>
      <c r="D257" s="34"/>
      <c r="E257" s="34"/>
      <c r="F257" s="34"/>
      <c r="G257" s="34"/>
      <c r="H257" s="34"/>
      <c r="I257" s="3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4"/>
    </row>
    <row r="258" spans="2:122" ht="26.25" x14ac:dyDescent="0.25">
      <c r="B258" s="1"/>
      <c r="C258" s="33"/>
      <c r="D258" s="36" t="s">
        <v>42</v>
      </c>
      <c r="E258" s="36" t="s">
        <v>43</v>
      </c>
      <c r="F258" s="36" t="s">
        <v>44</v>
      </c>
      <c r="G258" s="36" t="s">
        <v>45</v>
      </c>
      <c r="H258" s="36" t="s">
        <v>46</v>
      </c>
      <c r="I258" s="3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4"/>
    </row>
    <row r="259" spans="2:122" x14ac:dyDescent="0.25">
      <c r="B259" s="1"/>
      <c r="C259" s="33"/>
      <c r="D259" s="37"/>
      <c r="E259" s="37"/>
      <c r="F259" s="37"/>
      <c r="G259" s="37"/>
      <c r="H259" s="37"/>
      <c r="I259" s="35"/>
      <c r="J259">
        <f>IF(D259="x",5,0)</f>
        <v>0</v>
      </c>
      <c r="K259">
        <f>IF(E259="x",4,0)</f>
        <v>0</v>
      </c>
      <c r="L259">
        <f>IF(F259="x",3,0)</f>
        <v>0</v>
      </c>
      <c r="M259">
        <f>IF(G259="x",2,0)</f>
        <v>0</v>
      </c>
      <c r="N259">
        <f>IF(H259="x",1,0)</f>
        <v>0</v>
      </c>
      <c r="O259" s="3" t="str">
        <f>IF(Q259="",SUM(J259:N259),"falso")</f>
        <v>falso</v>
      </c>
      <c r="P259">
        <f>COUNTIF(D259:H259,"x")</f>
        <v>0</v>
      </c>
      <c r="Q259" s="38" t="str">
        <f>IF(P259&lt;1,"error",IF(P259&gt;1,"error",""))</f>
        <v>error</v>
      </c>
      <c r="R259" s="38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4"/>
    </row>
    <row r="260" spans="2:122" ht="15.75" thickBot="1" x14ac:dyDescent="0.3">
      <c r="B260" s="1"/>
      <c r="C260" s="39"/>
      <c r="D260" s="40">
        <v>5</v>
      </c>
      <c r="E260" s="40">
        <v>4</v>
      </c>
      <c r="F260" s="40">
        <v>3</v>
      </c>
      <c r="G260" s="40">
        <v>2</v>
      </c>
      <c r="H260" s="40">
        <v>1</v>
      </c>
      <c r="I260" s="41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4"/>
    </row>
    <row r="261" spans="2:122" ht="15.75" thickBot="1" x14ac:dyDescent="0.3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4"/>
    </row>
    <row r="262" spans="2:122" x14ac:dyDescent="0.25">
      <c r="B262" s="1"/>
      <c r="C262" s="31" t="s">
        <v>123</v>
      </c>
      <c r="D262" s="43" t="s">
        <v>124</v>
      </c>
      <c r="E262" s="44"/>
      <c r="F262" s="44"/>
      <c r="G262" s="44"/>
      <c r="H262" s="44"/>
      <c r="I262" s="45"/>
      <c r="J262" s="3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4"/>
    </row>
    <row r="263" spans="2:122" x14ac:dyDescent="0.25">
      <c r="B263" s="1"/>
      <c r="C263" s="33"/>
      <c r="D263" s="34"/>
      <c r="E263" s="34"/>
      <c r="F263" s="34"/>
      <c r="G263" s="34"/>
      <c r="H263" s="34"/>
      <c r="I263" s="3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4"/>
    </row>
    <row r="264" spans="2:122" ht="26.25" x14ac:dyDescent="0.25">
      <c r="B264" s="1"/>
      <c r="C264" s="33"/>
      <c r="D264" s="36" t="s">
        <v>42</v>
      </c>
      <c r="E264" s="36" t="s">
        <v>43</v>
      </c>
      <c r="F264" s="36" t="s">
        <v>44</v>
      </c>
      <c r="G264" s="36" t="s">
        <v>45</v>
      </c>
      <c r="H264" s="36" t="s">
        <v>46</v>
      </c>
      <c r="I264" s="3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4"/>
    </row>
    <row r="265" spans="2:122" x14ac:dyDescent="0.25">
      <c r="B265" s="1"/>
      <c r="C265" s="33"/>
      <c r="D265" s="37"/>
      <c r="E265" s="37"/>
      <c r="F265" s="37"/>
      <c r="G265" s="37"/>
      <c r="H265" s="37"/>
      <c r="I265" s="35"/>
      <c r="J265">
        <f>IF(D265="x",5,0)</f>
        <v>0</v>
      </c>
      <c r="K265">
        <f>IF(E265="x",4,0)</f>
        <v>0</v>
      </c>
      <c r="L265">
        <f>IF(F265="x",3,0)</f>
        <v>0</v>
      </c>
      <c r="M265">
        <f>IF(G265="x",2,0)</f>
        <v>0</v>
      </c>
      <c r="N265">
        <f>IF(H265="x",1,0)</f>
        <v>0</v>
      </c>
      <c r="O265" s="3" t="str">
        <f>IF(Q265="",SUM(J265:N265),"falso")</f>
        <v>falso</v>
      </c>
      <c r="P265">
        <f>COUNTIF(D265:H265,"x")</f>
        <v>0</v>
      </c>
      <c r="Q265" s="38" t="str">
        <f>IF(P265&lt;1,"error",IF(P265&gt;1,"error",""))</f>
        <v>error</v>
      </c>
      <c r="R265" s="38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4"/>
    </row>
    <row r="266" spans="2:122" ht="15.75" thickBot="1" x14ac:dyDescent="0.3">
      <c r="B266" s="1"/>
      <c r="C266" s="39"/>
      <c r="D266" s="40">
        <v>5</v>
      </c>
      <c r="E266" s="40">
        <v>4</v>
      </c>
      <c r="F266" s="40">
        <v>3</v>
      </c>
      <c r="G266" s="40">
        <v>2</v>
      </c>
      <c r="H266" s="40">
        <v>1</v>
      </c>
      <c r="I266" s="41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4"/>
    </row>
    <row r="267" spans="2:122" ht="15.75" thickBot="1" x14ac:dyDescent="0.3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4"/>
    </row>
    <row r="268" spans="2:122" x14ac:dyDescent="0.25">
      <c r="B268" s="1"/>
      <c r="C268" s="31" t="s">
        <v>125</v>
      </c>
      <c r="D268" s="43" t="s">
        <v>126</v>
      </c>
      <c r="E268" s="44"/>
      <c r="F268" s="44"/>
      <c r="G268" s="44"/>
      <c r="H268" s="44"/>
      <c r="I268" s="45"/>
      <c r="J268" s="3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4"/>
    </row>
    <row r="269" spans="2:122" x14ac:dyDescent="0.25">
      <c r="B269" s="1"/>
      <c r="C269" s="33"/>
      <c r="D269" s="34"/>
      <c r="E269" s="34"/>
      <c r="F269" s="34"/>
      <c r="G269" s="34"/>
      <c r="H269" s="34"/>
      <c r="I269" s="3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4"/>
    </row>
    <row r="270" spans="2:122" ht="26.25" x14ac:dyDescent="0.25">
      <c r="B270" s="1"/>
      <c r="C270" s="33"/>
      <c r="D270" s="36" t="s">
        <v>42</v>
      </c>
      <c r="E270" s="36" t="s">
        <v>43</v>
      </c>
      <c r="F270" s="36" t="s">
        <v>44</v>
      </c>
      <c r="G270" s="36" t="s">
        <v>45</v>
      </c>
      <c r="H270" s="36" t="s">
        <v>46</v>
      </c>
      <c r="I270" s="3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4"/>
    </row>
    <row r="271" spans="2:122" x14ac:dyDescent="0.25">
      <c r="B271" s="1"/>
      <c r="C271" s="33"/>
      <c r="D271" s="37"/>
      <c r="E271" s="37"/>
      <c r="F271" s="37"/>
      <c r="G271" s="37"/>
      <c r="H271" s="37"/>
      <c r="I271" s="35"/>
      <c r="J271">
        <f>IF(D271="x",5,0)</f>
        <v>0</v>
      </c>
      <c r="K271">
        <f>IF(E271="x",4,0)</f>
        <v>0</v>
      </c>
      <c r="L271">
        <f>IF(F271="x",3,0)</f>
        <v>0</v>
      </c>
      <c r="M271">
        <f>IF(G271="x",2,0)</f>
        <v>0</v>
      </c>
      <c r="N271">
        <f>IF(H271="x",1,0)</f>
        <v>0</v>
      </c>
      <c r="O271" s="3" t="str">
        <f>IF(Q271="",SUM(J271:N271),"falso")</f>
        <v>falso</v>
      </c>
      <c r="P271">
        <f>COUNTIF(D271:H271,"x")</f>
        <v>0</v>
      </c>
      <c r="Q271" s="38" t="str">
        <f>IF(P271&lt;1,"error",IF(P271&gt;1,"error",""))</f>
        <v>error</v>
      </c>
      <c r="R271" s="38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4"/>
    </row>
    <row r="272" spans="2:122" ht="15.75" thickBot="1" x14ac:dyDescent="0.3">
      <c r="B272" s="1"/>
      <c r="C272" s="39"/>
      <c r="D272" s="40">
        <v>5</v>
      </c>
      <c r="E272" s="40">
        <v>4</v>
      </c>
      <c r="F272" s="40">
        <v>3</v>
      </c>
      <c r="G272" s="40">
        <v>2</v>
      </c>
      <c r="H272" s="40">
        <v>1</v>
      </c>
      <c r="I272" s="41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4"/>
    </row>
    <row r="273" spans="2:122" ht="15.75" thickBot="1" x14ac:dyDescent="0.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4"/>
    </row>
    <row r="274" spans="2:122" x14ac:dyDescent="0.25">
      <c r="B274" s="1"/>
      <c r="C274" s="31" t="s">
        <v>127</v>
      </c>
      <c r="D274" s="43" t="s">
        <v>128</v>
      </c>
      <c r="E274" s="44"/>
      <c r="F274" s="44"/>
      <c r="G274" s="44"/>
      <c r="H274" s="44"/>
      <c r="I274" s="45"/>
      <c r="J274" s="3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4"/>
    </row>
    <row r="275" spans="2:122" x14ac:dyDescent="0.25">
      <c r="B275" s="1"/>
      <c r="C275" s="33"/>
      <c r="D275" s="34"/>
      <c r="E275" s="34"/>
      <c r="F275" s="34"/>
      <c r="G275" s="34"/>
      <c r="H275" s="34"/>
      <c r="I275" s="3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4"/>
    </row>
    <row r="276" spans="2:122" ht="26.25" x14ac:dyDescent="0.25">
      <c r="B276" s="1"/>
      <c r="C276" s="33"/>
      <c r="D276" s="36" t="s">
        <v>42</v>
      </c>
      <c r="E276" s="36" t="s">
        <v>43</v>
      </c>
      <c r="F276" s="36" t="s">
        <v>44</v>
      </c>
      <c r="G276" s="36" t="s">
        <v>45</v>
      </c>
      <c r="H276" s="36" t="s">
        <v>46</v>
      </c>
      <c r="I276" s="3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4"/>
    </row>
    <row r="277" spans="2:122" x14ac:dyDescent="0.25">
      <c r="B277" s="1"/>
      <c r="C277" s="33"/>
      <c r="D277" s="37"/>
      <c r="E277" s="37"/>
      <c r="F277" s="37"/>
      <c r="G277" s="37"/>
      <c r="H277" s="37"/>
      <c r="I277" s="35"/>
      <c r="J277">
        <f>IF(D277="x",5,0)</f>
        <v>0</v>
      </c>
      <c r="K277">
        <f>IF(E277="x",4,0)</f>
        <v>0</v>
      </c>
      <c r="L277">
        <f>IF(F277="x",3,0)</f>
        <v>0</v>
      </c>
      <c r="M277">
        <f>IF(G277="x",2,0)</f>
        <v>0</v>
      </c>
      <c r="N277">
        <f>IF(H277="x",1,0)</f>
        <v>0</v>
      </c>
      <c r="O277" s="3" t="str">
        <f>IF(Q277="",SUM(J277:N277),"falso")</f>
        <v>falso</v>
      </c>
      <c r="P277">
        <f>COUNTIF(D277:H277,"x")</f>
        <v>0</v>
      </c>
      <c r="Q277" s="38" t="str">
        <f>IF(P277&lt;1,"error",IF(P277&gt;1,"error",""))</f>
        <v>error</v>
      </c>
      <c r="R277" s="38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4"/>
    </row>
    <row r="278" spans="2:122" ht="15.75" thickBot="1" x14ac:dyDescent="0.3">
      <c r="B278" s="1"/>
      <c r="C278" s="39"/>
      <c r="D278" s="40">
        <v>5</v>
      </c>
      <c r="E278" s="40">
        <v>4</v>
      </c>
      <c r="F278" s="40">
        <v>3</v>
      </c>
      <c r="G278" s="40">
        <v>2</v>
      </c>
      <c r="H278" s="40">
        <v>1</v>
      </c>
      <c r="I278" s="41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4"/>
    </row>
    <row r="279" spans="2:122" ht="15.75" thickBot="1" x14ac:dyDescent="0.3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4"/>
    </row>
    <row r="280" spans="2:122" x14ac:dyDescent="0.25">
      <c r="B280" s="1"/>
      <c r="C280" s="31" t="s">
        <v>129</v>
      </c>
      <c r="D280" s="43" t="s">
        <v>130</v>
      </c>
      <c r="E280" s="44"/>
      <c r="F280" s="44"/>
      <c r="G280" s="44"/>
      <c r="H280" s="44"/>
      <c r="I280" s="45"/>
      <c r="J280" s="3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4"/>
    </row>
    <row r="281" spans="2:122" x14ac:dyDescent="0.25">
      <c r="B281" s="1"/>
      <c r="C281" s="33"/>
      <c r="D281" s="34"/>
      <c r="E281" s="34"/>
      <c r="F281" s="34"/>
      <c r="G281" s="34"/>
      <c r="H281" s="34"/>
      <c r="I281" s="3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4"/>
    </row>
    <row r="282" spans="2:122" ht="26.25" x14ac:dyDescent="0.25">
      <c r="B282" s="1"/>
      <c r="C282" s="33"/>
      <c r="D282" s="36" t="s">
        <v>42</v>
      </c>
      <c r="E282" s="36" t="s">
        <v>43</v>
      </c>
      <c r="F282" s="36" t="s">
        <v>44</v>
      </c>
      <c r="G282" s="36" t="s">
        <v>45</v>
      </c>
      <c r="H282" s="36" t="s">
        <v>46</v>
      </c>
      <c r="I282" s="3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4"/>
    </row>
    <row r="283" spans="2:122" x14ac:dyDescent="0.25">
      <c r="B283" s="1"/>
      <c r="C283" s="33"/>
      <c r="D283" s="37"/>
      <c r="E283" s="37"/>
      <c r="F283" s="37"/>
      <c r="G283" s="37"/>
      <c r="H283" s="37"/>
      <c r="I283" s="35"/>
      <c r="J283">
        <f>IF(D283="x",5,0)</f>
        <v>0</v>
      </c>
      <c r="K283">
        <f>IF(E283="x",4,0)</f>
        <v>0</v>
      </c>
      <c r="L283">
        <f>IF(F283="x",3,0)</f>
        <v>0</v>
      </c>
      <c r="M283">
        <f>IF(G283="x",2,0)</f>
        <v>0</v>
      </c>
      <c r="N283">
        <f>IF(H283="x",1,0)</f>
        <v>0</v>
      </c>
      <c r="O283" s="3" t="str">
        <f>IF(Q283="",SUM(J283:N283),"falso")</f>
        <v>falso</v>
      </c>
      <c r="P283">
        <f>COUNTIF(D283:H283,"x")</f>
        <v>0</v>
      </c>
      <c r="Q283" s="38" t="str">
        <f>IF(P283&lt;1,"error",IF(P283&gt;1,"error",""))</f>
        <v>error</v>
      </c>
      <c r="R283" s="38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4"/>
    </row>
    <row r="284" spans="2:122" ht="15.75" thickBot="1" x14ac:dyDescent="0.3">
      <c r="B284" s="1"/>
      <c r="C284" s="39"/>
      <c r="D284" s="40">
        <v>5</v>
      </c>
      <c r="E284" s="40">
        <v>4</v>
      </c>
      <c r="F284" s="40">
        <v>3</v>
      </c>
      <c r="G284" s="40">
        <v>2</v>
      </c>
      <c r="H284" s="40">
        <v>1</v>
      </c>
      <c r="I284" s="41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4"/>
    </row>
    <row r="285" spans="2:122" ht="15.75" thickBot="1" x14ac:dyDescent="0.3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4"/>
    </row>
    <row r="286" spans="2:122" x14ac:dyDescent="0.25">
      <c r="B286" s="1"/>
      <c r="C286" s="31" t="s">
        <v>131</v>
      </c>
      <c r="D286" s="43" t="s">
        <v>132</v>
      </c>
      <c r="E286" s="44"/>
      <c r="F286" s="44"/>
      <c r="G286" s="44"/>
      <c r="H286" s="44"/>
      <c r="I286" s="45"/>
      <c r="J286" s="3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4"/>
    </row>
    <row r="287" spans="2:122" x14ac:dyDescent="0.25">
      <c r="B287" s="1"/>
      <c r="C287" s="33"/>
      <c r="D287" s="34"/>
      <c r="E287" s="34"/>
      <c r="F287" s="34"/>
      <c r="G287" s="34"/>
      <c r="H287" s="34"/>
      <c r="I287" s="3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4"/>
    </row>
    <row r="288" spans="2:122" ht="26.25" x14ac:dyDescent="0.25">
      <c r="B288" s="1"/>
      <c r="C288" s="33"/>
      <c r="D288" s="36" t="s">
        <v>42</v>
      </c>
      <c r="E288" s="36" t="s">
        <v>43</v>
      </c>
      <c r="F288" s="36" t="s">
        <v>44</v>
      </c>
      <c r="G288" s="36" t="s">
        <v>45</v>
      </c>
      <c r="H288" s="36" t="s">
        <v>46</v>
      </c>
      <c r="I288" s="3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4"/>
    </row>
    <row r="289" spans="2:122" x14ac:dyDescent="0.25">
      <c r="B289" s="1"/>
      <c r="C289" s="33"/>
      <c r="D289" s="37"/>
      <c r="E289" s="37"/>
      <c r="F289" s="37"/>
      <c r="G289" s="37"/>
      <c r="H289" s="37"/>
      <c r="I289" s="35"/>
      <c r="J289">
        <f>IF(D289="x",5,0)</f>
        <v>0</v>
      </c>
      <c r="K289">
        <f>IF(E289="x",4,0)</f>
        <v>0</v>
      </c>
      <c r="L289">
        <f>IF(F289="x",3,0)</f>
        <v>0</v>
      </c>
      <c r="M289">
        <f>IF(G289="x",2,0)</f>
        <v>0</v>
      </c>
      <c r="N289">
        <f>IF(H289="x",1,0)</f>
        <v>0</v>
      </c>
      <c r="O289" s="3" t="str">
        <f>IF(Q289="",SUM(J289:N289),"falso")</f>
        <v>falso</v>
      </c>
      <c r="P289">
        <f>COUNTIF(D289:H289,"x")</f>
        <v>0</v>
      </c>
      <c r="Q289" s="38" t="str">
        <f>IF(P289&lt;1,"error",IF(P289&gt;1,"error",""))</f>
        <v>error</v>
      </c>
      <c r="R289" s="3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4"/>
    </row>
    <row r="290" spans="2:122" ht="15.75" thickBot="1" x14ac:dyDescent="0.3">
      <c r="B290" s="1"/>
      <c r="C290" s="39"/>
      <c r="D290" s="40">
        <v>5</v>
      </c>
      <c r="E290" s="40">
        <v>4</v>
      </c>
      <c r="F290" s="40">
        <v>3</v>
      </c>
      <c r="G290" s="40">
        <v>2</v>
      </c>
      <c r="H290" s="40">
        <v>1</v>
      </c>
      <c r="I290" s="41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4"/>
    </row>
    <row r="291" spans="2:122" ht="15.75" thickBot="1" x14ac:dyDescent="0.3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4"/>
    </row>
    <row r="292" spans="2:122" x14ac:dyDescent="0.25">
      <c r="B292" s="1"/>
      <c r="C292" s="31" t="s">
        <v>133</v>
      </c>
      <c r="D292" s="43" t="s">
        <v>134</v>
      </c>
      <c r="E292" s="44"/>
      <c r="F292" s="44"/>
      <c r="G292" s="44"/>
      <c r="H292" s="44"/>
      <c r="I292" s="45"/>
      <c r="J292" s="3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4"/>
    </row>
    <row r="293" spans="2:122" x14ac:dyDescent="0.25">
      <c r="B293" s="1"/>
      <c r="C293" s="33"/>
      <c r="D293" s="34"/>
      <c r="E293" s="34"/>
      <c r="F293" s="34"/>
      <c r="G293" s="34"/>
      <c r="H293" s="34"/>
      <c r="I293" s="3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4"/>
    </row>
    <row r="294" spans="2:122" ht="26.25" x14ac:dyDescent="0.25">
      <c r="B294" s="1"/>
      <c r="C294" s="33"/>
      <c r="D294" s="36" t="s">
        <v>42</v>
      </c>
      <c r="E294" s="36" t="s">
        <v>43</v>
      </c>
      <c r="F294" s="36" t="s">
        <v>44</v>
      </c>
      <c r="G294" s="36" t="s">
        <v>45</v>
      </c>
      <c r="H294" s="36" t="s">
        <v>46</v>
      </c>
      <c r="I294" s="3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4"/>
    </row>
    <row r="295" spans="2:122" x14ac:dyDescent="0.25">
      <c r="B295" s="1"/>
      <c r="C295" s="33"/>
      <c r="D295" s="37"/>
      <c r="E295" s="37"/>
      <c r="F295" s="37"/>
      <c r="G295" s="37"/>
      <c r="H295" s="37"/>
      <c r="I295" s="35"/>
      <c r="J295">
        <f>IF(D295="x",5,0)</f>
        <v>0</v>
      </c>
      <c r="K295">
        <f>IF(E295="x",4,0)</f>
        <v>0</v>
      </c>
      <c r="L295">
        <f>IF(F295="x",3,0)</f>
        <v>0</v>
      </c>
      <c r="M295">
        <f>IF(G295="x",2,0)</f>
        <v>0</v>
      </c>
      <c r="N295">
        <f>IF(H295="x",1,0)</f>
        <v>0</v>
      </c>
      <c r="O295" s="3" t="str">
        <f>IF(Q295="",SUM(J295:N295),"falso")</f>
        <v>falso</v>
      </c>
      <c r="P295">
        <f>COUNTIF(D295:H295,"x")</f>
        <v>0</v>
      </c>
      <c r="Q295" s="38" t="str">
        <f>IF(P295&lt;1,"error",IF(P295&gt;1,"error",""))</f>
        <v>error</v>
      </c>
      <c r="R295" s="38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4"/>
    </row>
    <row r="296" spans="2:122" ht="15.75" thickBot="1" x14ac:dyDescent="0.3">
      <c r="B296" s="1"/>
      <c r="C296" s="39"/>
      <c r="D296" s="40">
        <v>5</v>
      </c>
      <c r="E296" s="40">
        <v>4</v>
      </c>
      <c r="F296" s="40">
        <v>3</v>
      </c>
      <c r="G296" s="40">
        <v>2</v>
      </c>
      <c r="H296" s="40">
        <v>1</v>
      </c>
      <c r="I296" s="41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4"/>
    </row>
    <row r="297" spans="2:122" ht="15.75" thickBot="1" x14ac:dyDescent="0.3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4"/>
    </row>
    <row r="298" spans="2:122" x14ac:dyDescent="0.25">
      <c r="B298" s="1"/>
      <c r="C298" s="31" t="s">
        <v>135</v>
      </c>
      <c r="D298" s="43" t="s">
        <v>136</v>
      </c>
      <c r="E298" s="44"/>
      <c r="F298" s="44"/>
      <c r="G298" s="44"/>
      <c r="H298" s="44"/>
      <c r="I298" s="45"/>
      <c r="J298" s="3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4"/>
    </row>
    <row r="299" spans="2:122" x14ac:dyDescent="0.25">
      <c r="B299" s="1"/>
      <c r="C299" s="33"/>
      <c r="D299" s="34"/>
      <c r="E299" s="34"/>
      <c r="F299" s="34"/>
      <c r="G299" s="34"/>
      <c r="H299" s="34"/>
      <c r="I299" s="3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4"/>
    </row>
    <row r="300" spans="2:122" ht="26.25" x14ac:dyDescent="0.25">
      <c r="B300" s="1"/>
      <c r="C300" s="33"/>
      <c r="D300" s="36" t="s">
        <v>42</v>
      </c>
      <c r="E300" s="36" t="s">
        <v>43</v>
      </c>
      <c r="F300" s="36" t="s">
        <v>44</v>
      </c>
      <c r="G300" s="36" t="s">
        <v>45</v>
      </c>
      <c r="H300" s="36" t="s">
        <v>46</v>
      </c>
      <c r="I300" s="3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4"/>
    </row>
    <row r="301" spans="2:122" x14ac:dyDescent="0.25">
      <c r="B301" s="1"/>
      <c r="C301" s="33"/>
      <c r="D301" s="37"/>
      <c r="E301" s="37"/>
      <c r="F301" s="37"/>
      <c r="G301" s="37"/>
      <c r="H301" s="37"/>
      <c r="I301" s="35"/>
      <c r="J301">
        <f>IF(D301="x",5,0)</f>
        <v>0</v>
      </c>
      <c r="K301">
        <f>IF(E301="x",4,0)</f>
        <v>0</v>
      </c>
      <c r="L301">
        <f>IF(F301="x",3,0)</f>
        <v>0</v>
      </c>
      <c r="M301">
        <f>IF(G301="x",2,0)</f>
        <v>0</v>
      </c>
      <c r="N301">
        <f>IF(H301="x",1,0)</f>
        <v>0</v>
      </c>
      <c r="O301" s="3" t="str">
        <f>IF(Q301="",SUM(J301:N301),"falso")</f>
        <v>falso</v>
      </c>
      <c r="P301">
        <f>COUNTIF(D301:H301,"x")</f>
        <v>0</v>
      </c>
      <c r="Q301" s="38" t="str">
        <f>IF(P301&lt;1,"error",IF(P301&gt;1,"error",""))</f>
        <v>error</v>
      </c>
      <c r="R301" s="38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4"/>
    </row>
    <row r="302" spans="2:122" ht="15.75" thickBot="1" x14ac:dyDescent="0.3">
      <c r="B302" s="1"/>
      <c r="C302" s="39"/>
      <c r="D302" s="40">
        <v>5</v>
      </c>
      <c r="E302" s="40">
        <v>4</v>
      </c>
      <c r="F302" s="40">
        <v>3</v>
      </c>
      <c r="G302" s="40">
        <v>2</v>
      </c>
      <c r="H302" s="40">
        <v>1</v>
      </c>
      <c r="I302" s="41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4"/>
    </row>
    <row r="303" spans="2:122" ht="15.75" thickBot="1" x14ac:dyDescent="0.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4"/>
    </row>
    <row r="304" spans="2:122" x14ac:dyDescent="0.25">
      <c r="B304" s="1"/>
      <c r="C304" s="31" t="s">
        <v>137</v>
      </c>
      <c r="D304" s="43" t="s">
        <v>138</v>
      </c>
      <c r="E304" s="44"/>
      <c r="F304" s="44"/>
      <c r="G304" s="44"/>
      <c r="H304" s="44"/>
      <c r="I304" s="45"/>
      <c r="J304" s="3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4"/>
    </row>
    <row r="305" spans="2:122" x14ac:dyDescent="0.25">
      <c r="B305" s="1"/>
      <c r="C305" s="33"/>
      <c r="D305" s="34"/>
      <c r="E305" s="34"/>
      <c r="F305" s="34"/>
      <c r="G305" s="34"/>
      <c r="H305" s="34"/>
      <c r="I305" s="3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4"/>
    </row>
    <row r="306" spans="2:122" ht="26.25" x14ac:dyDescent="0.25">
      <c r="B306" s="1"/>
      <c r="C306" s="33"/>
      <c r="D306" s="36" t="s">
        <v>42</v>
      </c>
      <c r="E306" s="36" t="s">
        <v>43</v>
      </c>
      <c r="F306" s="36" t="s">
        <v>44</v>
      </c>
      <c r="G306" s="36" t="s">
        <v>45</v>
      </c>
      <c r="H306" s="36" t="s">
        <v>46</v>
      </c>
      <c r="I306" s="3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4"/>
    </row>
    <row r="307" spans="2:122" x14ac:dyDescent="0.25">
      <c r="B307" s="1"/>
      <c r="C307" s="33"/>
      <c r="D307" s="37"/>
      <c r="E307" s="37"/>
      <c r="F307" s="37"/>
      <c r="G307" s="37"/>
      <c r="H307" s="37"/>
      <c r="I307" s="35"/>
      <c r="J307">
        <f>IF(D307="x",5,0)</f>
        <v>0</v>
      </c>
      <c r="K307">
        <f>IF(E307="x",4,0)</f>
        <v>0</v>
      </c>
      <c r="L307">
        <f>IF(F307="x",3,0)</f>
        <v>0</v>
      </c>
      <c r="M307">
        <f>IF(G307="x",2,0)</f>
        <v>0</v>
      </c>
      <c r="N307">
        <f>IF(H307="x",1,0)</f>
        <v>0</v>
      </c>
      <c r="O307" s="3" t="str">
        <f>IF(Q307="",SUM(J307:N307),"falso")</f>
        <v>falso</v>
      </c>
      <c r="P307">
        <f>COUNTIF(D307:H307,"x")</f>
        <v>0</v>
      </c>
      <c r="Q307" s="38" t="str">
        <f>IF(P307&lt;1,"error",IF(P307&gt;1,"error",""))</f>
        <v>error</v>
      </c>
      <c r="R307" s="38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4"/>
    </row>
    <row r="308" spans="2:122" ht="15.75" thickBot="1" x14ac:dyDescent="0.3">
      <c r="B308" s="1"/>
      <c r="C308" s="39"/>
      <c r="D308" s="40">
        <v>5</v>
      </c>
      <c r="E308" s="40">
        <v>4</v>
      </c>
      <c r="F308" s="40">
        <v>3</v>
      </c>
      <c r="G308" s="40">
        <v>2</v>
      </c>
      <c r="H308" s="40">
        <v>1</v>
      </c>
      <c r="I308" s="41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4"/>
    </row>
    <row r="309" spans="2:122" ht="15.75" thickBot="1" x14ac:dyDescent="0.3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4"/>
    </row>
    <row r="310" spans="2:122" x14ac:dyDescent="0.25">
      <c r="B310" s="1"/>
      <c r="C310" s="31" t="s">
        <v>139</v>
      </c>
      <c r="D310" s="43" t="s">
        <v>140</v>
      </c>
      <c r="E310" s="44"/>
      <c r="F310" s="44"/>
      <c r="G310" s="44"/>
      <c r="H310" s="44"/>
      <c r="I310" s="45"/>
      <c r="J310" s="3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4"/>
    </row>
    <row r="311" spans="2:122" x14ac:dyDescent="0.25">
      <c r="B311" s="1"/>
      <c r="C311" s="33"/>
      <c r="D311" s="34"/>
      <c r="E311" s="34"/>
      <c r="F311" s="34"/>
      <c r="G311" s="34"/>
      <c r="H311" s="34"/>
      <c r="I311" s="3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4"/>
    </row>
    <row r="312" spans="2:122" ht="26.25" x14ac:dyDescent="0.25">
      <c r="B312" s="1"/>
      <c r="C312" s="33"/>
      <c r="D312" s="36" t="s">
        <v>42</v>
      </c>
      <c r="E312" s="36" t="s">
        <v>43</v>
      </c>
      <c r="F312" s="36" t="s">
        <v>44</v>
      </c>
      <c r="G312" s="36" t="s">
        <v>45</v>
      </c>
      <c r="H312" s="36" t="s">
        <v>46</v>
      </c>
      <c r="I312" s="3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4"/>
    </row>
    <row r="313" spans="2:122" x14ac:dyDescent="0.25">
      <c r="B313" s="1"/>
      <c r="C313" s="33"/>
      <c r="D313" s="37"/>
      <c r="E313" s="37"/>
      <c r="F313" s="37"/>
      <c r="G313" s="37"/>
      <c r="H313" s="37"/>
      <c r="I313" s="35"/>
      <c r="J313">
        <f>IF(D313="x",5,0)</f>
        <v>0</v>
      </c>
      <c r="K313">
        <f>IF(E313="x",4,0)</f>
        <v>0</v>
      </c>
      <c r="L313">
        <f>IF(F313="x",3,0)</f>
        <v>0</v>
      </c>
      <c r="M313">
        <f>IF(G313="x",2,0)</f>
        <v>0</v>
      </c>
      <c r="N313">
        <f>IF(H313="x",1,0)</f>
        <v>0</v>
      </c>
      <c r="O313" s="3" t="str">
        <f>IF(Q313="",SUM(J313:N313),"falso")</f>
        <v>falso</v>
      </c>
      <c r="P313">
        <f>COUNTIF(D313:H313,"x")</f>
        <v>0</v>
      </c>
      <c r="Q313" s="38" t="str">
        <f>IF(P313&lt;1,"error",IF(P313&gt;1,"error",""))</f>
        <v>error</v>
      </c>
      <c r="R313" s="38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4"/>
    </row>
    <row r="314" spans="2:122" ht="15.75" thickBot="1" x14ac:dyDescent="0.3">
      <c r="B314" s="1"/>
      <c r="C314" s="39"/>
      <c r="D314" s="40">
        <v>5</v>
      </c>
      <c r="E314" s="40">
        <v>4</v>
      </c>
      <c r="F314" s="40">
        <v>3</v>
      </c>
      <c r="G314" s="40">
        <v>2</v>
      </c>
      <c r="H314" s="40">
        <v>1</v>
      </c>
      <c r="I314" s="41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4"/>
    </row>
    <row r="315" spans="2:122" ht="15.75" thickBot="1" x14ac:dyDescent="0.3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4"/>
    </row>
    <row r="316" spans="2:122" x14ac:dyDescent="0.25">
      <c r="B316" s="1"/>
      <c r="C316" s="31" t="s">
        <v>141</v>
      </c>
      <c r="D316" s="43" t="s">
        <v>142</v>
      </c>
      <c r="E316" s="44"/>
      <c r="F316" s="44"/>
      <c r="G316" s="44"/>
      <c r="H316" s="44"/>
      <c r="I316" s="45"/>
      <c r="J316" s="3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4"/>
    </row>
    <row r="317" spans="2:122" x14ac:dyDescent="0.25">
      <c r="B317" s="1"/>
      <c r="C317" s="33"/>
      <c r="D317" s="34"/>
      <c r="E317" s="34"/>
      <c r="F317" s="34"/>
      <c r="G317" s="34"/>
      <c r="H317" s="34"/>
      <c r="I317" s="3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4"/>
    </row>
    <row r="318" spans="2:122" ht="26.25" x14ac:dyDescent="0.25">
      <c r="B318" s="1"/>
      <c r="C318" s="33"/>
      <c r="D318" s="36" t="s">
        <v>42</v>
      </c>
      <c r="E318" s="36" t="s">
        <v>43</v>
      </c>
      <c r="F318" s="36" t="s">
        <v>44</v>
      </c>
      <c r="G318" s="36" t="s">
        <v>45</v>
      </c>
      <c r="H318" s="36" t="s">
        <v>46</v>
      </c>
      <c r="I318" s="3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4"/>
    </row>
    <row r="319" spans="2:122" x14ac:dyDescent="0.25">
      <c r="B319" s="1"/>
      <c r="C319" s="33"/>
      <c r="D319" s="37"/>
      <c r="E319" s="37"/>
      <c r="F319" s="37"/>
      <c r="G319" s="37"/>
      <c r="H319" s="37"/>
      <c r="I319" s="35"/>
      <c r="J319">
        <f>IF(D319="x",5,0)</f>
        <v>0</v>
      </c>
      <c r="K319">
        <f>IF(E319="x",4,0)</f>
        <v>0</v>
      </c>
      <c r="L319">
        <f>IF(F319="x",3,0)</f>
        <v>0</v>
      </c>
      <c r="M319">
        <f>IF(G319="x",2,0)</f>
        <v>0</v>
      </c>
      <c r="N319">
        <f>IF(H319="x",1,0)</f>
        <v>0</v>
      </c>
      <c r="O319" s="3" t="str">
        <f>IF(Q319="",SUM(J319:N319),"falso")</f>
        <v>falso</v>
      </c>
      <c r="P319">
        <f>COUNTIF(D319:H319,"x")</f>
        <v>0</v>
      </c>
      <c r="Q319" s="38" t="str">
        <f>IF(P319&lt;1,"error",IF(P319&gt;1,"error",""))</f>
        <v>error</v>
      </c>
      <c r="R319" s="38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4"/>
    </row>
    <row r="320" spans="2:122" ht="15.75" thickBot="1" x14ac:dyDescent="0.3">
      <c r="B320" s="1"/>
      <c r="C320" s="39"/>
      <c r="D320" s="40">
        <v>5</v>
      </c>
      <c r="E320" s="40">
        <v>4</v>
      </c>
      <c r="F320" s="40">
        <v>3</v>
      </c>
      <c r="G320" s="40">
        <v>2</v>
      </c>
      <c r="H320" s="40">
        <v>1</v>
      </c>
      <c r="I320" s="41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4"/>
    </row>
    <row r="321" spans="2:122" ht="15.75" thickBot="1" x14ac:dyDescent="0.3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4"/>
    </row>
    <row r="322" spans="2:122" x14ac:dyDescent="0.25">
      <c r="B322" s="1"/>
      <c r="C322" s="31" t="s">
        <v>143</v>
      </c>
      <c r="D322" s="43" t="s">
        <v>144</v>
      </c>
      <c r="E322" s="44"/>
      <c r="F322" s="44"/>
      <c r="G322" s="44"/>
      <c r="H322" s="44"/>
      <c r="I322" s="45"/>
      <c r="J322" s="3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4"/>
    </row>
    <row r="323" spans="2:122" x14ac:dyDescent="0.25">
      <c r="B323" s="1"/>
      <c r="C323" s="33"/>
      <c r="D323" s="34"/>
      <c r="E323" s="34"/>
      <c r="F323" s="34"/>
      <c r="G323" s="34"/>
      <c r="H323" s="34"/>
      <c r="I323" s="3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4"/>
    </row>
    <row r="324" spans="2:122" ht="26.25" x14ac:dyDescent="0.25">
      <c r="B324" s="1"/>
      <c r="C324" s="33"/>
      <c r="D324" s="36" t="s">
        <v>42</v>
      </c>
      <c r="E324" s="36" t="s">
        <v>43</v>
      </c>
      <c r="F324" s="36" t="s">
        <v>44</v>
      </c>
      <c r="G324" s="36" t="s">
        <v>45</v>
      </c>
      <c r="H324" s="36" t="s">
        <v>46</v>
      </c>
      <c r="I324" s="3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4"/>
    </row>
    <row r="325" spans="2:122" x14ac:dyDescent="0.25">
      <c r="B325" s="1"/>
      <c r="C325" s="33"/>
      <c r="D325" s="37"/>
      <c r="E325" s="37"/>
      <c r="F325" s="37"/>
      <c r="G325" s="37"/>
      <c r="H325" s="37"/>
      <c r="I325" s="35"/>
      <c r="J325">
        <f>IF(D325="x",5,0)</f>
        <v>0</v>
      </c>
      <c r="K325">
        <f>IF(E325="x",4,0)</f>
        <v>0</v>
      </c>
      <c r="L325">
        <f>IF(F325="x",3,0)</f>
        <v>0</v>
      </c>
      <c r="M325">
        <f>IF(G325="x",2,0)</f>
        <v>0</v>
      </c>
      <c r="N325">
        <f>IF(H325="x",1,0)</f>
        <v>0</v>
      </c>
      <c r="O325" s="3" t="str">
        <f>IF(Q325="",SUM(J325:N325),"falso")</f>
        <v>falso</v>
      </c>
      <c r="P325">
        <f>COUNTIF(D325:H325,"x")</f>
        <v>0</v>
      </c>
      <c r="Q325" s="38" t="str">
        <f>IF(P325&lt;1,"error",IF(P325&gt;1,"error",""))</f>
        <v>error</v>
      </c>
      <c r="R325" s="38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4"/>
    </row>
    <row r="326" spans="2:122" ht="15.75" thickBot="1" x14ac:dyDescent="0.3">
      <c r="B326" s="1"/>
      <c r="C326" s="39"/>
      <c r="D326" s="40">
        <v>5</v>
      </c>
      <c r="E326" s="40">
        <v>4</v>
      </c>
      <c r="F326" s="40">
        <v>3</v>
      </c>
      <c r="G326" s="40">
        <v>2</v>
      </c>
      <c r="H326" s="40">
        <v>1</v>
      </c>
      <c r="I326" s="41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4"/>
    </row>
    <row r="327" spans="2:122" ht="15.75" thickBot="1" x14ac:dyDescent="0.3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4"/>
    </row>
    <row r="328" spans="2:122" x14ac:dyDescent="0.25">
      <c r="B328" s="1"/>
      <c r="C328" s="31" t="s">
        <v>145</v>
      </c>
      <c r="D328" s="43" t="s">
        <v>146</v>
      </c>
      <c r="E328" s="44"/>
      <c r="F328" s="44"/>
      <c r="G328" s="44"/>
      <c r="H328" s="44"/>
      <c r="I328" s="45"/>
      <c r="J328" s="3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4"/>
    </row>
    <row r="329" spans="2:122" x14ac:dyDescent="0.25">
      <c r="B329" s="1"/>
      <c r="C329" s="33"/>
      <c r="D329" s="34"/>
      <c r="E329" s="34"/>
      <c r="F329" s="34"/>
      <c r="G329" s="34"/>
      <c r="H329" s="34"/>
      <c r="I329" s="3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4"/>
    </row>
    <row r="330" spans="2:122" ht="26.25" x14ac:dyDescent="0.25">
      <c r="B330" s="1"/>
      <c r="C330" s="33"/>
      <c r="D330" s="36" t="s">
        <v>42</v>
      </c>
      <c r="E330" s="36" t="s">
        <v>43</v>
      </c>
      <c r="F330" s="36" t="s">
        <v>44</v>
      </c>
      <c r="G330" s="36" t="s">
        <v>45</v>
      </c>
      <c r="H330" s="36" t="s">
        <v>46</v>
      </c>
      <c r="I330" s="3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4"/>
    </row>
    <row r="331" spans="2:122" x14ac:dyDescent="0.25">
      <c r="B331" s="1"/>
      <c r="C331" s="33"/>
      <c r="D331" s="37"/>
      <c r="E331" s="37"/>
      <c r="F331" s="37"/>
      <c r="G331" s="37"/>
      <c r="H331" s="37"/>
      <c r="I331" s="35"/>
      <c r="J331">
        <f>IF(D331="x",5,0)</f>
        <v>0</v>
      </c>
      <c r="K331">
        <f>IF(E331="x",4,0)</f>
        <v>0</v>
      </c>
      <c r="L331">
        <f>IF(F331="x",3,0)</f>
        <v>0</v>
      </c>
      <c r="M331">
        <f>IF(G331="x",2,0)</f>
        <v>0</v>
      </c>
      <c r="N331">
        <f>IF(H331="x",1,0)</f>
        <v>0</v>
      </c>
      <c r="O331" s="3" t="str">
        <f>IF(Q331="",SUM(J331:N331),"falso")</f>
        <v>falso</v>
      </c>
      <c r="P331">
        <f>COUNTIF(D331:H331,"x")</f>
        <v>0</v>
      </c>
      <c r="Q331" s="38" t="str">
        <f>IF(P331&lt;1,"error",IF(P331&gt;1,"error",""))</f>
        <v>error</v>
      </c>
      <c r="R331" s="38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4"/>
    </row>
    <row r="332" spans="2:122" ht="15.75" thickBot="1" x14ac:dyDescent="0.3">
      <c r="B332" s="1"/>
      <c r="C332" s="39"/>
      <c r="D332" s="40">
        <v>5</v>
      </c>
      <c r="E332" s="40">
        <v>4</v>
      </c>
      <c r="F332" s="40">
        <v>3</v>
      </c>
      <c r="G332" s="40">
        <v>2</v>
      </c>
      <c r="H332" s="40">
        <v>1</v>
      </c>
      <c r="I332" s="41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4"/>
    </row>
    <row r="333" spans="2:122" ht="15.75" thickBot="1" x14ac:dyDescent="0.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4"/>
    </row>
    <row r="334" spans="2:122" x14ac:dyDescent="0.25">
      <c r="B334" s="1"/>
      <c r="C334" s="31" t="s">
        <v>147</v>
      </c>
      <c r="D334" s="43" t="s">
        <v>148</v>
      </c>
      <c r="E334" s="44"/>
      <c r="F334" s="44"/>
      <c r="G334" s="44"/>
      <c r="H334" s="44"/>
      <c r="I334" s="45"/>
      <c r="J334" s="3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4"/>
    </row>
    <row r="335" spans="2:122" x14ac:dyDescent="0.25">
      <c r="B335" s="1"/>
      <c r="C335" s="33"/>
      <c r="D335" s="34"/>
      <c r="E335" s="34"/>
      <c r="F335" s="34"/>
      <c r="G335" s="34"/>
      <c r="H335" s="34"/>
      <c r="I335" s="3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4"/>
    </row>
    <row r="336" spans="2:122" ht="26.25" x14ac:dyDescent="0.25">
      <c r="B336" s="1"/>
      <c r="C336" s="33"/>
      <c r="D336" s="36" t="s">
        <v>42</v>
      </c>
      <c r="E336" s="36" t="s">
        <v>43</v>
      </c>
      <c r="F336" s="36" t="s">
        <v>44</v>
      </c>
      <c r="G336" s="36" t="s">
        <v>45</v>
      </c>
      <c r="H336" s="36" t="s">
        <v>46</v>
      </c>
      <c r="I336" s="3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4"/>
    </row>
    <row r="337" spans="2:122" x14ac:dyDescent="0.25">
      <c r="B337" s="1"/>
      <c r="C337" s="33"/>
      <c r="D337" s="37"/>
      <c r="E337" s="37"/>
      <c r="F337" s="37"/>
      <c r="G337" s="37"/>
      <c r="H337" s="37"/>
      <c r="I337" s="35"/>
      <c r="J337">
        <f>IF(D337="x",5,0)</f>
        <v>0</v>
      </c>
      <c r="K337">
        <f>IF(E337="x",4,0)</f>
        <v>0</v>
      </c>
      <c r="L337">
        <f>IF(F337="x",3,0)</f>
        <v>0</v>
      </c>
      <c r="M337">
        <f>IF(G337="x",2,0)</f>
        <v>0</v>
      </c>
      <c r="N337">
        <f>IF(H337="x",1,0)</f>
        <v>0</v>
      </c>
      <c r="O337" s="3" t="str">
        <f>IF(Q337="",SUM(J337:N337),"falso")</f>
        <v>falso</v>
      </c>
      <c r="P337">
        <f>COUNTIF(D337:H337,"x")</f>
        <v>0</v>
      </c>
      <c r="Q337" s="38" t="str">
        <f>IF(P337&lt;1,"error",IF(P337&gt;1,"error",""))</f>
        <v>error</v>
      </c>
      <c r="R337" s="38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4"/>
    </row>
    <row r="338" spans="2:122" ht="15.75" thickBot="1" x14ac:dyDescent="0.3">
      <c r="B338" s="1"/>
      <c r="C338" s="39"/>
      <c r="D338" s="40">
        <v>5</v>
      </c>
      <c r="E338" s="40">
        <v>4</v>
      </c>
      <c r="F338" s="40">
        <v>3</v>
      </c>
      <c r="G338" s="40">
        <v>2</v>
      </c>
      <c r="H338" s="40">
        <v>1</v>
      </c>
      <c r="I338" s="41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4"/>
    </row>
    <row r="339" spans="2:122" ht="15.75" thickBot="1" x14ac:dyDescent="0.3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4"/>
    </row>
    <row r="340" spans="2:122" x14ac:dyDescent="0.25">
      <c r="B340" s="1"/>
      <c r="C340" s="31" t="s">
        <v>149</v>
      </c>
      <c r="D340" s="43" t="s">
        <v>150</v>
      </c>
      <c r="E340" s="44"/>
      <c r="F340" s="44"/>
      <c r="G340" s="44"/>
      <c r="H340" s="44"/>
      <c r="I340" s="45"/>
      <c r="J340" s="3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4"/>
    </row>
    <row r="341" spans="2:122" x14ac:dyDescent="0.25">
      <c r="B341" s="1"/>
      <c r="C341" s="33"/>
      <c r="D341" s="34"/>
      <c r="E341" s="34"/>
      <c r="F341" s="34"/>
      <c r="G341" s="34"/>
      <c r="H341" s="34"/>
      <c r="I341" s="3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4"/>
    </row>
    <row r="342" spans="2:122" ht="26.25" x14ac:dyDescent="0.25">
      <c r="B342" s="1"/>
      <c r="C342" s="33"/>
      <c r="D342" s="36" t="s">
        <v>42</v>
      </c>
      <c r="E342" s="36" t="s">
        <v>43</v>
      </c>
      <c r="F342" s="36" t="s">
        <v>44</v>
      </c>
      <c r="G342" s="36" t="s">
        <v>45</v>
      </c>
      <c r="H342" s="36" t="s">
        <v>46</v>
      </c>
      <c r="I342" s="3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4"/>
    </row>
    <row r="343" spans="2:122" x14ac:dyDescent="0.25">
      <c r="B343" s="1"/>
      <c r="C343" s="33"/>
      <c r="D343" s="37"/>
      <c r="E343" s="37"/>
      <c r="F343" s="37"/>
      <c r="G343" s="37"/>
      <c r="H343" s="37"/>
      <c r="I343" s="35"/>
      <c r="J343">
        <f>IF(D343="x",5,0)</f>
        <v>0</v>
      </c>
      <c r="K343">
        <f>IF(E343="x",4,0)</f>
        <v>0</v>
      </c>
      <c r="L343">
        <f>IF(F343="x",3,0)</f>
        <v>0</v>
      </c>
      <c r="M343">
        <f>IF(G343="x",2,0)</f>
        <v>0</v>
      </c>
      <c r="N343">
        <f>IF(H343="x",1,0)</f>
        <v>0</v>
      </c>
      <c r="O343" s="3" t="str">
        <f>IF(Q343="",SUM(J343:N343),"falso")</f>
        <v>falso</v>
      </c>
      <c r="P343">
        <f>COUNTIF(D343:H343,"x")</f>
        <v>0</v>
      </c>
      <c r="Q343" s="38" t="str">
        <f>IF(P343&lt;1,"error",IF(P343&gt;1,"error",""))</f>
        <v>error</v>
      </c>
      <c r="R343" s="38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4"/>
    </row>
    <row r="344" spans="2:122" ht="15.75" thickBot="1" x14ac:dyDescent="0.3">
      <c r="B344" s="1"/>
      <c r="C344" s="39"/>
      <c r="D344" s="40">
        <v>5</v>
      </c>
      <c r="E344" s="40">
        <v>4</v>
      </c>
      <c r="F344" s="40">
        <v>3</v>
      </c>
      <c r="G344" s="40">
        <v>2</v>
      </c>
      <c r="H344" s="40">
        <v>1</v>
      </c>
      <c r="I344" s="41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4"/>
    </row>
    <row r="345" spans="2:122" ht="15.75" thickBot="1" x14ac:dyDescent="0.3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4"/>
    </row>
    <row r="346" spans="2:122" x14ac:dyDescent="0.25">
      <c r="B346" s="1"/>
      <c r="C346" s="31" t="s">
        <v>151</v>
      </c>
      <c r="D346" s="43" t="s">
        <v>152</v>
      </c>
      <c r="E346" s="44"/>
      <c r="F346" s="44"/>
      <c r="G346" s="44"/>
      <c r="H346" s="44"/>
      <c r="I346" s="45"/>
      <c r="J346" s="3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4"/>
    </row>
    <row r="347" spans="2:122" x14ac:dyDescent="0.25">
      <c r="B347" s="1"/>
      <c r="C347" s="33"/>
      <c r="D347" s="34"/>
      <c r="E347" s="34"/>
      <c r="F347" s="34"/>
      <c r="G347" s="34"/>
      <c r="H347" s="34"/>
      <c r="I347" s="3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4"/>
    </row>
    <row r="348" spans="2:122" ht="26.25" x14ac:dyDescent="0.25">
      <c r="B348" s="1"/>
      <c r="C348" s="33"/>
      <c r="D348" s="36" t="s">
        <v>42</v>
      </c>
      <c r="E348" s="36" t="s">
        <v>43</v>
      </c>
      <c r="F348" s="36" t="s">
        <v>44</v>
      </c>
      <c r="G348" s="36" t="s">
        <v>45</v>
      </c>
      <c r="H348" s="36" t="s">
        <v>46</v>
      </c>
      <c r="I348" s="3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4"/>
    </row>
    <row r="349" spans="2:122" x14ac:dyDescent="0.25">
      <c r="B349" s="1"/>
      <c r="C349" s="33"/>
      <c r="D349" s="37"/>
      <c r="E349" s="37"/>
      <c r="F349" s="37"/>
      <c r="G349" s="37"/>
      <c r="H349" s="37"/>
      <c r="I349" s="35"/>
      <c r="J349">
        <f>IF(D349="x",5,0)</f>
        <v>0</v>
      </c>
      <c r="K349">
        <f>IF(E349="x",4,0)</f>
        <v>0</v>
      </c>
      <c r="L349">
        <f>IF(F349="x",3,0)</f>
        <v>0</v>
      </c>
      <c r="M349">
        <f>IF(G349="x",2,0)</f>
        <v>0</v>
      </c>
      <c r="N349">
        <f>IF(H349="x",1,0)</f>
        <v>0</v>
      </c>
      <c r="O349" s="3" t="str">
        <f>IF(Q349="",SUM(J349:N349),"falso")</f>
        <v>falso</v>
      </c>
      <c r="P349">
        <f>COUNTIF(D349:H349,"x")</f>
        <v>0</v>
      </c>
      <c r="Q349" s="38" t="str">
        <f>IF(P349&lt;1,"error",IF(P349&gt;1,"error",""))</f>
        <v>error</v>
      </c>
      <c r="R349" s="38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4"/>
    </row>
    <row r="350" spans="2:122" ht="15.75" thickBot="1" x14ac:dyDescent="0.3">
      <c r="B350" s="1"/>
      <c r="C350" s="39"/>
      <c r="D350" s="40">
        <v>5</v>
      </c>
      <c r="E350" s="40">
        <v>4</v>
      </c>
      <c r="F350" s="40">
        <v>3</v>
      </c>
      <c r="G350" s="40">
        <v>2</v>
      </c>
      <c r="H350" s="40">
        <v>1</v>
      </c>
      <c r="I350" s="41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4"/>
    </row>
    <row r="351" spans="2:122" ht="15.75" thickBot="1" x14ac:dyDescent="0.3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4"/>
    </row>
    <row r="352" spans="2:122" x14ac:dyDescent="0.25">
      <c r="B352" s="1"/>
      <c r="C352" s="31" t="s">
        <v>153</v>
      </c>
      <c r="D352" s="43" t="s">
        <v>154</v>
      </c>
      <c r="E352" s="44"/>
      <c r="F352" s="44"/>
      <c r="G352" s="44"/>
      <c r="H352" s="44"/>
      <c r="I352" s="45"/>
      <c r="J352" s="3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4"/>
    </row>
    <row r="353" spans="2:122" x14ac:dyDescent="0.25">
      <c r="B353" s="1"/>
      <c r="C353" s="33"/>
      <c r="D353" s="34"/>
      <c r="E353" s="34"/>
      <c r="F353" s="34"/>
      <c r="G353" s="34"/>
      <c r="H353" s="34"/>
      <c r="I353" s="3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4"/>
    </row>
    <row r="354" spans="2:122" ht="26.25" x14ac:dyDescent="0.25">
      <c r="B354" s="1"/>
      <c r="C354" s="33"/>
      <c r="D354" s="36" t="s">
        <v>42</v>
      </c>
      <c r="E354" s="36" t="s">
        <v>43</v>
      </c>
      <c r="F354" s="36" t="s">
        <v>44</v>
      </c>
      <c r="G354" s="36" t="s">
        <v>45</v>
      </c>
      <c r="H354" s="36" t="s">
        <v>46</v>
      </c>
      <c r="I354" s="3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4"/>
    </row>
    <row r="355" spans="2:122" x14ac:dyDescent="0.25">
      <c r="B355" s="1"/>
      <c r="C355" s="33"/>
      <c r="D355" s="37"/>
      <c r="E355" s="37"/>
      <c r="F355" s="37"/>
      <c r="G355" s="37"/>
      <c r="H355" s="37"/>
      <c r="I355" s="35"/>
      <c r="J355">
        <f>IF(D355="x",5,0)</f>
        <v>0</v>
      </c>
      <c r="K355">
        <f>IF(E355="x",4,0)</f>
        <v>0</v>
      </c>
      <c r="L355">
        <f>IF(F355="x",3,0)</f>
        <v>0</v>
      </c>
      <c r="M355">
        <f>IF(G355="x",2,0)</f>
        <v>0</v>
      </c>
      <c r="N355">
        <f>IF(H355="x",1,0)</f>
        <v>0</v>
      </c>
      <c r="O355" s="3" t="str">
        <f>IF(Q355="",SUM(J355:N355),"falso")</f>
        <v>falso</v>
      </c>
      <c r="P355">
        <f>COUNTIF(D355:H355,"x")</f>
        <v>0</v>
      </c>
      <c r="Q355" s="38" t="str">
        <f>IF(P355&lt;1,"error",IF(P355&gt;1,"error",""))</f>
        <v>error</v>
      </c>
      <c r="R355" s="38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4"/>
    </row>
    <row r="356" spans="2:122" ht="15.75" thickBot="1" x14ac:dyDescent="0.3">
      <c r="B356" s="1"/>
      <c r="C356" s="39"/>
      <c r="D356" s="40">
        <v>5</v>
      </c>
      <c r="E356" s="40">
        <v>4</v>
      </c>
      <c r="F356" s="40">
        <v>3</v>
      </c>
      <c r="G356" s="40">
        <v>2</v>
      </c>
      <c r="H356" s="40">
        <v>1</v>
      </c>
      <c r="I356" s="41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4"/>
    </row>
    <row r="357" spans="2:122" ht="15.75" thickBot="1" x14ac:dyDescent="0.3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4"/>
    </row>
    <row r="358" spans="2:122" x14ac:dyDescent="0.25">
      <c r="B358" s="1"/>
      <c r="C358" s="31" t="s">
        <v>155</v>
      </c>
      <c r="D358" s="43" t="s">
        <v>156</v>
      </c>
      <c r="E358" s="44"/>
      <c r="F358" s="44"/>
      <c r="G358" s="44"/>
      <c r="H358" s="44"/>
      <c r="I358" s="45"/>
      <c r="J358" s="3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4"/>
    </row>
    <row r="359" spans="2:122" x14ac:dyDescent="0.25">
      <c r="B359" s="1"/>
      <c r="C359" s="33"/>
      <c r="D359" s="34"/>
      <c r="E359" s="34"/>
      <c r="F359" s="34"/>
      <c r="G359" s="34"/>
      <c r="H359" s="34"/>
      <c r="I359" s="3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4"/>
    </row>
    <row r="360" spans="2:122" ht="26.25" x14ac:dyDescent="0.25">
      <c r="B360" s="1"/>
      <c r="C360" s="33"/>
      <c r="D360" s="36" t="s">
        <v>42</v>
      </c>
      <c r="E360" s="36" t="s">
        <v>43</v>
      </c>
      <c r="F360" s="36" t="s">
        <v>44</v>
      </c>
      <c r="G360" s="36" t="s">
        <v>45</v>
      </c>
      <c r="H360" s="36" t="s">
        <v>46</v>
      </c>
      <c r="I360" s="3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4"/>
    </row>
    <row r="361" spans="2:122" x14ac:dyDescent="0.25">
      <c r="B361" s="1"/>
      <c r="C361" s="33"/>
      <c r="D361" s="37"/>
      <c r="E361" s="37"/>
      <c r="F361" s="37"/>
      <c r="G361" s="37"/>
      <c r="H361" s="37"/>
      <c r="I361" s="35"/>
      <c r="J361">
        <f>IF(D361="x",5,0)</f>
        <v>0</v>
      </c>
      <c r="K361">
        <f>IF(E361="x",4,0)</f>
        <v>0</v>
      </c>
      <c r="L361">
        <f>IF(F361="x",3,0)</f>
        <v>0</v>
      </c>
      <c r="M361">
        <f>IF(G361="x",2,0)</f>
        <v>0</v>
      </c>
      <c r="N361">
        <f>IF(H361="x",1,0)</f>
        <v>0</v>
      </c>
      <c r="O361" s="3" t="str">
        <f>IF(Q361="",SUM(J361:N361),"falso")</f>
        <v>falso</v>
      </c>
      <c r="P361">
        <f>COUNTIF(D361:H361,"x")</f>
        <v>0</v>
      </c>
      <c r="Q361" s="38" t="str">
        <f>IF(P361&lt;1,"error",IF(P361&gt;1,"error",""))</f>
        <v>error</v>
      </c>
      <c r="R361" s="38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4"/>
    </row>
    <row r="362" spans="2:122" ht="15.75" thickBot="1" x14ac:dyDescent="0.3">
      <c r="B362" s="1"/>
      <c r="C362" s="39"/>
      <c r="D362" s="40">
        <v>5</v>
      </c>
      <c r="E362" s="40">
        <v>4</v>
      </c>
      <c r="F362" s="40">
        <v>3</v>
      </c>
      <c r="G362" s="40">
        <v>2</v>
      </c>
      <c r="H362" s="40">
        <v>1</v>
      </c>
      <c r="I362" s="41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4"/>
    </row>
    <row r="363" spans="2:122" ht="15.75" thickBot="1" x14ac:dyDescent="0.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4"/>
    </row>
    <row r="364" spans="2:122" x14ac:dyDescent="0.25">
      <c r="B364" s="1"/>
      <c r="C364" s="31" t="s">
        <v>157</v>
      </c>
      <c r="D364" s="43" t="s">
        <v>158</v>
      </c>
      <c r="E364" s="44"/>
      <c r="F364" s="44"/>
      <c r="G364" s="44"/>
      <c r="H364" s="44"/>
      <c r="I364" s="45"/>
      <c r="J364" s="3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4"/>
    </row>
    <row r="365" spans="2:122" x14ac:dyDescent="0.25">
      <c r="B365" s="1"/>
      <c r="C365" s="33"/>
      <c r="D365" s="34"/>
      <c r="E365" s="34"/>
      <c r="F365" s="34"/>
      <c r="G365" s="34"/>
      <c r="H365" s="34"/>
      <c r="I365" s="3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4"/>
    </row>
    <row r="366" spans="2:122" ht="26.25" x14ac:dyDescent="0.25">
      <c r="B366" s="1"/>
      <c r="C366" s="33"/>
      <c r="D366" s="36" t="s">
        <v>42</v>
      </c>
      <c r="E366" s="36" t="s">
        <v>43</v>
      </c>
      <c r="F366" s="36" t="s">
        <v>44</v>
      </c>
      <c r="G366" s="36" t="s">
        <v>45</v>
      </c>
      <c r="H366" s="36" t="s">
        <v>46</v>
      </c>
      <c r="I366" s="3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4"/>
    </row>
    <row r="367" spans="2:122" x14ac:dyDescent="0.25">
      <c r="B367" s="1"/>
      <c r="C367" s="33"/>
      <c r="D367" s="37"/>
      <c r="E367" s="37"/>
      <c r="F367" s="37"/>
      <c r="G367" s="37"/>
      <c r="H367" s="37"/>
      <c r="I367" s="35"/>
      <c r="J367">
        <f>IF(D367="x",5,0)</f>
        <v>0</v>
      </c>
      <c r="K367">
        <f>IF(E367="x",4,0)</f>
        <v>0</v>
      </c>
      <c r="L367">
        <f>IF(F367="x",3,0)</f>
        <v>0</v>
      </c>
      <c r="M367">
        <f>IF(G367="x",2,0)</f>
        <v>0</v>
      </c>
      <c r="N367">
        <f>IF(H367="x",1,0)</f>
        <v>0</v>
      </c>
      <c r="O367" s="3" t="str">
        <f>IF(Q367="",SUM(J367:N367),"falso")</f>
        <v>falso</v>
      </c>
      <c r="P367">
        <f>COUNTIF(D367:H367,"x")</f>
        <v>0</v>
      </c>
      <c r="Q367" s="38" t="str">
        <f>IF(P367&lt;1,"error",IF(P367&gt;1,"error",""))</f>
        <v>error</v>
      </c>
      <c r="R367" s="38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4"/>
    </row>
    <row r="368" spans="2:122" ht="15.75" thickBot="1" x14ac:dyDescent="0.3">
      <c r="B368" s="1"/>
      <c r="C368" s="39"/>
      <c r="D368" s="40">
        <v>5</v>
      </c>
      <c r="E368" s="40">
        <v>4</v>
      </c>
      <c r="F368" s="40">
        <v>3</v>
      </c>
      <c r="G368" s="40">
        <v>2</v>
      </c>
      <c r="H368" s="40">
        <v>1</v>
      </c>
      <c r="I368" s="41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4"/>
    </row>
    <row r="369" spans="2:122" ht="15.75" thickBot="1" x14ac:dyDescent="0.3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4"/>
    </row>
    <row r="370" spans="2:122" x14ac:dyDescent="0.25">
      <c r="B370" s="1"/>
      <c r="C370" s="31" t="s">
        <v>159</v>
      </c>
      <c r="D370" s="43" t="s">
        <v>160</v>
      </c>
      <c r="E370" s="44"/>
      <c r="F370" s="44"/>
      <c r="G370" s="44"/>
      <c r="H370" s="44"/>
      <c r="I370" s="45"/>
      <c r="J370" s="3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4"/>
    </row>
    <row r="371" spans="2:122" x14ac:dyDescent="0.25">
      <c r="B371" s="1"/>
      <c r="C371" s="33"/>
      <c r="D371" s="34"/>
      <c r="E371" s="34"/>
      <c r="F371" s="34"/>
      <c r="G371" s="34"/>
      <c r="H371" s="34"/>
      <c r="I371" s="3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4"/>
    </row>
    <row r="372" spans="2:122" ht="26.25" x14ac:dyDescent="0.25">
      <c r="B372" s="1"/>
      <c r="C372" s="33"/>
      <c r="D372" s="36" t="s">
        <v>42</v>
      </c>
      <c r="E372" s="36" t="s">
        <v>43</v>
      </c>
      <c r="F372" s="36" t="s">
        <v>44</v>
      </c>
      <c r="G372" s="36" t="s">
        <v>45</v>
      </c>
      <c r="H372" s="36" t="s">
        <v>46</v>
      </c>
      <c r="I372" s="3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4"/>
    </row>
    <row r="373" spans="2:122" x14ac:dyDescent="0.25">
      <c r="B373" s="1"/>
      <c r="C373" s="33"/>
      <c r="D373" s="37"/>
      <c r="E373" s="37"/>
      <c r="F373" s="37"/>
      <c r="G373" s="37"/>
      <c r="H373" s="37"/>
      <c r="I373" s="35"/>
      <c r="J373">
        <f>IF(D373="x",5,0)</f>
        <v>0</v>
      </c>
      <c r="K373">
        <f>IF(E373="x",4,0)</f>
        <v>0</v>
      </c>
      <c r="L373">
        <f>IF(F373="x",3,0)</f>
        <v>0</v>
      </c>
      <c r="M373">
        <f>IF(G373="x",2,0)</f>
        <v>0</v>
      </c>
      <c r="N373">
        <f>IF(H373="x",1,0)</f>
        <v>0</v>
      </c>
      <c r="O373" s="3" t="str">
        <f>IF(Q373="",SUM(J373:N373),"falso")</f>
        <v>falso</v>
      </c>
      <c r="P373">
        <f>COUNTIF(D373:H373,"x")</f>
        <v>0</v>
      </c>
      <c r="Q373" s="38" t="str">
        <f>IF(P373&lt;1,"error",IF(P373&gt;1,"error",""))</f>
        <v>error</v>
      </c>
      <c r="R373" s="38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4"/>
    </row>
    <row r="374" spans="2:122" ht="15.75" thickBot="1" x14ac:dyDescent="0.3">
      <c r="B374" s="1"/>
      <c r="C374" s="39"/>
      <c r="D374" s="40">
        <v>5</v>
      </c>
      <c r="E374" s="40">
        <v>4</v>
      </c>
      <c r="F374" s="40">
        <v>3</v>
      </c>
      <c r="G374" s="40">
        <v>2</v>
      </c>
      <c r="H374" s="40">
        <v>1</v>
      </c>
      <c r="I374" s="41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4"/>
    </row>
    <row r="375" spans="2:122" ht="15.75" thickBot="1" x14ac:dyDescent="0.3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4"/>
    </row>
    <row r="376" spans="2:122" x14ac:dyDescent="0.25">
      <c r="B376" s="1"/>
      <c r="C376" s="31" t="s">
        <v>161</v>
      </c>
      <c r="D376" s="43" t="s">
        <v>162</v>
      </c>
      <c r="E376" s="44"/>
      <c r="F376" s="44"/>
      <c r="G376" s="44"/>
      <c r="H376" s="44"/>
      <c r="I376" s="45"/>
      <c r="J376" s="3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4"/>
    </row>
    <row r="377" spans="2:122" x14ac:dyDescent="0.25">
      <c r="B377" s="1"/>
      <c r="C377" s="33"/>
      <c r="D377" s="34"/>
      <c r="E377" s="34"/>
      <c r="F377" s="34"/>
      <c r="G377" s="34"/>
      <c r="H377" s="34"/>
      <c r="I377" s="3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4"/>
    </row>
    <row r="378" spans="2:122" ht="26.25" x14ac:dyDescent="0.25">
      <c r="B378" s="1"/>
      <c r="C378" s="33"/>
      <c r="D378" s="36" t="s">
        <v>42</v>
      </c>
      <c r="E378" s="36" t="s">
        <v>43</v>
      </c>
      <c r="F378" s="36" t="s">
        <v>44</v>
      </c>
      <c r="G378" s="36" t="s">
        <v>45</v>
      </c>
      <c r="H378" s="36" t="s">
        <v>46</v>
      </c>
      <c r="I378" s="3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4"/>
    </row>
    <row r="379" spans="2:122" x14ac:dyDescent="0.25">
      <c r="B379" s="1"/>
      <c r="C379" s="33"/>
      <c r="D379" s="37"/>
      <c r="E379" s="37"/>
      <c r="F379" s="37"/>
      <c r="G379" s="37"/>
      <c r="H379" s="37"/>
      <c r="I379" s="35"/>
      <c r="J379">
        <f>IF(D379="x",5,0)</f>
        <v>0</v>
      </c>
      <c r="K379">
        <f>IF(E379="x",4,0)</f>
        <v>0</v>
      </c>
      <c r="L379">
        <f>IF(F379="x",3,0)</f>
        <v>0</v>
      </c>
      <c r="M379">
        <f>IF(G379="x",2,0)</f>
        <v>0</v>
      </c>
      <c r="N379">
        <f>IF(H379="x",1,0)</f>
        <v>0</v>
      </c>
      <c r="O379" s="3" t="str">
        <f>IF(Q379="",SUM(J379:N379),"falso")</f>
        <v>falso</v>
      </c>
      <c r="P379">
        <f>COUNTIF(D379:H379,"x")</f>
        <v>0</v>
      </c>
      <c r="Q379" s="38" t="str">
        <f>IF(P379&lt;1,"error",IF(P379&gt;1,"error",""))</f>
        <v>error</v>
      </c>
      <c r="R379" s="38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4"/>
    </row>
    <row r="380" spans="2:122" ht="15.75" thickBot="1" x14ac:dyDescent="0.3">
      <c r="B380" s="1"/>
      <c r="C380" s="39"/>
      <c r="D380" s="40">
        <v>5</v>
      </c>
      <c r="E380" s="40">
        <v>4</v>
      </c>
      <c r="F380" s="40">
        <v>3</v>
      </c>
      <c r="G380" s="40">
        <v>2</v>
      </c>
      <c r="H380" s="40">
        <v>1</v>
      </c>
      <c r="I380" s="41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4"/>
    </row>
    <row r="381" spans="2:122" ht="15.75" thickBot="1" x14ac:dyDescent="0.3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4"/>
    </row>
    <row r="382" spans="2:122" x14ac:dyDescent="0.25">
      <c r="B382" s="1"/>
      <c r="C382" s="31" t="s">
        <v>163</v>
      </c>
      <c r="D382" s="43" t="s">
        <v>164</v>
      </c>
      <c r="E382" s="44"/>
      <c r="F382" s="44"/>
      <c r="G382" s="44"/>
      <c r="H382" s="44"/>
      <c r="I382" s="45"/>
      <c r="J382" s="3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4"/>
    </row>
    <row r="383" spans="2:122" x14ac:dyDescent="0.25">
      <c r="B383" s="1"/>
      <c r="C383" s="33"/>
      <c r="D383" s="34"/>
      <c r="E383" s="34"/>
      <c r="F383" s="34"/>
      <c r="G383" s="34"/>
      <c r="H383" s="34"/>
      <c r="I383" s="3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4"/>
    </row>
    <row r="384" spans="2:122" ht="26.25" x14ac:dyDescent="0.25">
      <c r="B384" s="1"/>
      <c r="C384" s="33"/>
      <c r="D384" s="36" t="s">
        <v>42</v>
      </c>
      <c r="E384" s="36" t="s">
        <v>43</v>
      </c>
      <c r="F384" s="36" t="s">
        <v>44</v>
      </c>
      <c r="G384" s="36" t="s">
        <v>45</v>
      </c>
      <c r="H384" s="36" t="s">
        <v>46</v>
      </c>
      <c r="I384" s="3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4"/>
    </row>
    <row r="385" spans="2:122" x14ac:dyDescent="0.25">
      <c r="B385" s="1"/>
      <c r="C385" s="33"/>
      <c r="D385" s="37"/>
      <c r="E385" s="37"/>
      <c r="F385" s="37"/>
      <c r="G385" s="37"/>
      <c r="H385" s="37"/>
      <c r="I385" s="35"/>
      <c r="J385">
        <f>IF(D385="x",5,0)</f>
        <v>0</v>
      </c>
      <c r="K385">
        <f>IF(E385="x",4,0)</f>
        <v>0</v>
      </c>
      <c r="L385">
        <f>IF(F385="x",3,0)</f>
        <v>0</v>
      </c>
      <c r="M385">
        <f>IF(G385="x",2,0)</f>
        <v>0</v>
      </c>
      <c r="N385">
        <f>IF(H385="x",1,0)</f>
        <v>0</v>
      </c>
      <c r="O385" s="3" t="str">
        <f>IF(Q385="",SUM(J385:N385),"falso")</f>
        <v>falso</v>
      </c>
      <c r="P385">
        <f>COUNTIF(D385:H385,"x")</f>
        <v>0</v>
      </c>
      <c r="Q385" s="38" t="str">
        <f>IF(P385&lt;1,"error",IF(P385&gt;1,"error",""))</f>
        <v>error</v>
      </c>
      <c r="R385" s="38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4"/>
    </row>
    <row r="386" spans="2:122" ht="15.75" thickBot="1" x14ac:dyDescent="0.3">
      <c r="B386" s="1"/>
      <c r="C386" s="39"/>
      <c r="D386" s="40">
        <v>5</v>
      </c>
      <c r="E386" s="40">
        <v>4</v>
      </c>
      <c r="F386" s="40">
        <v>3</v>
      </c>
      <c r="G386" s="40">
        <v>2</v>
      </c>
      <c r="H386" s="40">
        <v>1</v>
      </c>
      <c r="I386" s="41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4"/>
    </row>
    <row r="387" spans="2:122" ht="15.75" thickBot="1" x14ac:dyDescent="0.3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4"/>
    </row>
    <row r="388" spans="2:122" x14ac:dyDescent="0.25">
      <c r="B388" s="1"/>
      <c r="C388" s="31" t="s">
        <v>165</v>
      </c>
      <c r="D388" s="43" t="s">
        <v>166</v>
      </c>
      <c r="E388" s="44"/>
      <c r="F388" s="44"/>
      <c r="G388" s="44"/>
      <c r="H388" s="44"/>
      <c r="I388" s="45"/>
      <c r="J388" s="3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4"/>
    </row>
    <row r="389" spans="2:122" x14ac:dyDescent="0.25">
      <c r="B389" s="1"/>
      <c r="C389" s="33"/>
      <c r="D389" s="34"/>
      <c r="E389" s="34"/>
      <c r="F389" s="34"/>
      <c r="G389" s="34"/>
      <c r="H389" s="34"/>
      <c r="I389" s="3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4"/>
    </row>
    <row r="390" spans="2:122" ht="26.25" x14ac:dyDescent="0.25">
      <c r="B390" s="1"/>
      <c r="C390" s="33"/>
      <c r="D390" s="36" t="s">
        <v>42</v>
      </c>
      <c r="E390" s="36" t="s">
        <v>43</v>
      </c>
      <c r="F390" s="36" t="s">
        <v>44</v>
      </c>
      <c r="G390" s="36" t="s">
        <v>45</v>
      </c>
      <c r="H390" s="36" t="s">
        <v>46</v>
      </c>
      <c r="I390" s="3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4"/>
    </row>
    <row r="391" spans="2:122" x14ac:dyDescent="0.25">
      <c r="B391" s="1"/>
      <c r="C391" s="33"/>
      <c r="D391" s="37"/>
      <c r="E391" s="37"/>
      <c r="F391" s="37"/>
      <c r="G391" s="37"/>
      <c r="H391" s="37"/>
      <c r="I391" s="35"/>
      <c r="J391">
        <f>IF(D391="x",5,0)</f>
        <v>0</v>
      </c>
      <c r="K391">
        <f>IF(E391="x",4,0)</f>
        <v>0</v>
      </c>
      <c r="L391">
        <f>IF(F391="x",3,0)</f>
        <v>0</v>
      </c>
      <c r="M391">
        <f>IF(G391="x",2,0)</f>
        <v>0</v>
      </c>
      <c r="N391">
        <f>IF(H391="x",1,0)</f>
        <v>0</v>
      </c>
      <c r="O391" s="3" t="str">
        <f>IF(Q391="",SUM(J391:N391),"falso")</f>
        <v>falso</v>
      </c>
      <c r="P391">
        <f>COUNTIF(D391:H391,"x")</f>
        <v>0</v>
      </c>
      <c r="Q391" s="38" t="str">
        <f>IF(P391&lt;1,"error",IF(P391&gt;1,"error",""))</f>
        <v>error</v>
      </c>
      <c r="R391" s="38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4"/>
    </row>
    <row r="392" spans="2:122" ht="15.75" thickBot="1" x14ac:dyDescent="0.3">
      <c r="B392" s="1"/>
      <c r="C392" s="39"/>
      <c r="D392" s="40">
        <v>5</v>
      </c>
      <c r="E392" s="40">
        <v>4</v>
      </c>
      <c r="F392" s="40">
        <v>3</v>
      </c>
      <c r="G392" s="40">
        <v>2</v>
      </c>
      <c r="H392" s="40">
        <v>1</v>
      </c>
      <c r="I392" s="41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4"/>
    </row>
    <row r="393" spans="2:122" ht="15.75" thickBot="1" x14ac:dyDescent="0.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4"/>
    </row>
    <row r="394" spans="2:122" x14ac:dyDescent="0.25">
      <c r="B394" s="1"/>
      <c r="C394" s="31" t="s">
        <v>167</v>
      </c>
      <c r="D394" s="43" t="s">
        <v>168</v>
      </c>
      <c r="E394" s="44"/>
      <c r="F394" s="44"/>
      <c r="G394" s="44"/>
      <c r="H394" s="44"/>
      <c r="I394" s="45"/>
      <c r="J394" s="3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4"/>
    </row>
    <row r="395" spans="2:122" x14ac:dyDescent="0.25">
      <c r="B395" s="1"/>
      <c r="C395" s="33"/>
      <c r="D395" s="34"/>
      <c r="E395" s="34"/>
      <c r="F395" s="34"/>
      <c r="G395" s="34"/>
      <c r="H395" s="34"/>
      <c r="I395" s="3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4"/>
    </row>
    <row r="396" spans="2:122" ht="26.25" x14ac:dyDescent="0.25">
      <c r="B396" s="1"/>
      <c r="C396" s="33"/>
      <c r="D396" s="36" t="s">
        <v>42</v>
      </c>
      <c r="E396" s="36" t="s">
        <v>43</v>
      </c>
      <c r="F396" s="36" t="s">
        <v>44</v>
      </c>
      <c r="G396" s="36" t="s">
        <v>45</v>
      </c>
      <c r="H396" s="36" t="s">
        <v>46</v>
      </c>
      <c r="I396" s="3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4"/>
    </row>
    <row r="397" spans="2:122" x14ac:dyDescent="0.25">
      <c r="B397" s="1"/>
      <c r="C397" s="33"/>
      <c r="D397" s="37"/>
      <c r="E397" s="37"/>
      <c r="F397" s="37"/>
      <c r="G397" s="37"/>
      <c r="H397" s="37"/>
      <c r="I397" s="35"/>
      <c r="J397">
        <f>IF(D397="x",5,0)</f>
        <v>0</v>
      </c>
      <c r="K397">
        <f>IF(E397="x",4,0)</f>
        <v>0</v>
      </c>
      <c r="L397">
        <f>IF(F397="x",3,0)</f>
        <v>0</v>
      </c>
      <c r="M397">
        <f>IF(G397="x",2,0)</f>
        <v>0</v>
      </c>
      <c r="N397">
        <f>IF(H397="x",1,0)</f>
        <v>0</v>
      </c>
      <c r="O397" s="3" t="str">
        <f>IF(Q397="",SUM(J397:N397),"falso")</f>
        <v>falso</v>
      </c>
      <c r="P397">
        <f>COUNTIF(D397:H397,"x")</f>
        <v>0</v>
      </c>
      <c r="Q397" s="38" t="str">
        <f>IF(P397&lt;1,"error",IF(P397&gt;1,"error",""))</f>
        <v>error</v>
      </c>
      <c r="R397" s="38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4"/>
    </row>
    <row r="398" spans="2:122" ht="15.75" thickBot="1" x14ac:dyDescent="0.3">
      <c r="B398" s="1"/>
      <c r="C398" s="39"/>
      <c r="D398" s="40">
        <v>5</v>
      </c>
      <c r="E398" s="40">
        <v>4</v>
      </c>
      <c r="F398" s="40">
        <v>3</v>
      </c>
      <c r="G398" s="40">
        <v>2</v>
      </c>
      <c r="H398" s="40">
        <v>1</v>
      </c>
      <c r="I398" s="41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4"/>
    </row>
    <row r="399" spans="2:122" ht="15.75" thickBot="1" x14ac:dyDescent="0.3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4"/>
    </row>
    <row r="400" spans="2:122" x14ac:dyDescent="0.25">
      <c r="B400" s="1"/>
      <c r="C400" s="31" t="s">
        <v>169</v>
      </c>
      <c r="D400" s="43" t="s">
        <v>170</v>
      </c>
      <c r="E400" s="44"/>
      <c r="F400" s="44"/>
      <c r="G400" s="44"/>
      <c r="H400" s="44"/>
      <c r="I400" s="45"/>
      <c r="J400" s="3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4"/>
    </row>
    <row r="401" spans="2:122" x14ac:dyDescent="0.25">
      <c r="B401" s="1"/>
      <c r="C401" s="33"/>
      <c r="D401" s="34"/>
      <c r="E401" s="34"/>
      <c r="F401" s="34"/>
      <c r="G401" s="34"/>
      <c r="H401" s="34"/>
      <c r="I401" s="3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4"/>
    </row>
    <row r="402" spans="2:122" ht="26.25" x14ac:dyDescent="0.25">
      <c r="B402" s="1"/>
      <c r="C402" s="33"/>
      <c r="D402" s="36" t="s">
        <v>42</v>
      </c>
      <c r="E402" s="36" t="s">
        <v>43</v>
      </c>
      <c r="F402" s="36" t="s">
        <v>44</v>
      </c>
      <c r="G402" s="36" t="s">
        <v>45</v>
      </c>
      <c r="H402" s="36" t="s">
        <v>46</v>
      </c>
      <c r="I402" s="3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4"/>
    </row>
    <row r="403" spans="2:122" x14ac:dyDescent="0.25">
      <c r="B403" s="1"/>
      <c r="C403" s="33"/>
      <c r="D403" s="37"/>
      <c r="E403" s="37"/>
      <c r="F403" s="37"/>
      <c r="G403" s="37"/>
      <c r="H403" s="37"/>
      <c r="I403" s="35"/>
      <c r="J403">
        <f>IF(D403="x",5,0)</f>
        <v>0</v>
      </c>
      <c r="K403">
        <f>IF(E403="x",4,0)</f>
        <v>0</v>
      </c>
      <c r="L403">
        <f>IF(F403="x",3,0)</f>
        <v>0</v>
      </c>
      <c r="M403">
        <f>IF(G403="x",2,0)</f>
        <v>0</v>
      </c>
      <c r="N403">
        <f>IF(H403="x",1,0)</f>
        <v>0</v>
      </c>
      <c r="O403" s="3" t="str">
        <f>IF(Q403="",SUM(J403:N403),"falso")</f>
        <v>falso</v>
      </c>
      <c r="P403">
        <f>COUNTIF(D403:H403,"x")</f>
        <v>0</v>
      </c>
      <c r="Q403" s="38" t="str">
        <f>IF(P403&lt;1,"error",IF(P403&gt;1,"error",""))</f>
        <v>error</v>
      </c>
      <c r="R403" s="38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4"/>
    </row>
    <row r="404" spans="2:122" ht="15.75" thickBot="1" x14ac:dyDescent="0.3">
      <c r="B404" s="1"/>
      <c r="C404" s="39"/>
      <c r="D404" s="40">
        <v>5</v>
      </c>
      <c r="E404" s="40">
        <v>4</v>
      </c>
      <c r="F404" s="40">
        <v>3</v>
      </c>
      <c r="G404" s="40">
        <v>2</v>
      </c>
      <c r="H404" s="40">
        <v>1</v>
      </c>
      <c r="I404" s="41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4"/>
    </row>
    <row r="405" spans="2:122" ht="15.75" thickBot="1" x14ac:dyDescent="0.3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4"/>
    </row>
    <row r="406" spans="2:122" x14ac:dyDescent="0.25">
      <c r="B406" s="1"/>
      <c r="C406" s="31" t="s">
        <v>171</v>
      </c>
      <c r="D406" s="43" t="s">
        <v>172</v>
      </c>
      <c r="E406" s="44"/>
      <c r="F406" s="44"/>
      <c r="G406" s="44"/>
      <c r="H406" s="44"/>
      <c r="I406" s="45"/>
      <c r="J406" s="3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4"/>
    </row>
    <row r="407" spans="2:122" x14ac:dyDescent="0.25">
      <c r="B407" s="1"/>
      <c r="C407" s="33"/>
      <c r="D407" s="34"/>
      <c r="E407" s="34"/>
      <c r="F407" s="34"/>
      <c r="G407" s="34"/>
      <c r="H407" s="34"/>
      <c r="I407" s="3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4"/>
    </row>
    <row r="408" spans="2:122" ht="26.25" x14ac:dyDescent="0.25">
      <c r="B408" s="1"/>
      <c r="C408" s="33"/>
      <c r="D408" s="36" t="s">
        <v>42</v>
      </c>
      <c r="E408" s="36" t="s">
        <v>43</v>
      </c>
      <c r="F408" s="36" t="s">
        <v>44</v>
      </c>
      <c r="G408" s="36" t="s">
        <v>45</v>
      </c>
      <c r="H408" s="36" t="s">
        <v>46</v>
      </c>
      <c r="I408" s="3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4"/>
    </row>
    <row r="409" spans="2:122" x14ac:dyDescent="0.25">
      <c r="B409" s="1"/>
      <c r="C409" s="33"/>
      <c r="D409" s="37"/>
      <c r="E409" s="37"/>
      <c r="F409" s="37"/>
      <c r="G409" s="37"/>
      <c r="H409" s="37"/>
      <c r="I409" s="35"/>
      <c r="J409">
        <f>IF(D409="x",5,0)</f>
        <v>0</v>
      </c>
      <c r="K409">
        <f>IF(E409="x",4,0)</f>
        <v>0</v>
      </c>
      <c r="L409">
        <f>IF(F409="x",3,0)</f>
        <v>0</v>
      </c>
      <c r="M409">
        <f>IF(G409="x",2,0)</f>
        <v>0</v>
      </c>
      <c r="N409">
        <f>IF(H409="x",1,0)</f>
        <v>0</v>
      </c>
      <c r="O409" s="3" t="str">
        <f>IF(Q409="",SUM(J409:N409),"falso")</f>
        <v>falso</v>
      </c>
      <c r="P409">
        <f>COUNTIF(D409:H409,"x")</f>
        <v>0</v>
      </c>
      <c r="Q409" s="38" t="str">
        <f>IF(P409&lt;1,"error",IF(P409&gt;1,"error",""))</f>
        <v>error</v>
      </c>
      <c r="R409" s="38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4"/>
    </row>
    <row r="410" spans="2:122" ht="15.75" thickBot="1" x14ac:dyDescent="0.3">
      <c r="B410" s="1"/>
      <c r="C410" s="39"/>
      <c r="D410" s="40">
        <v>5</v>
      </c>
      <c r="E410" s="40">
        <v>4</v>
      </c>
      <c r="F410" s="40">
        <v>3</v>
      </c>
      <c r="G410" s="40">
        <v>2</v>
      </c>
      <c r="H410" s="40">
        <v>1</v>
      </c>
      <c r="I410" s="41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4"/>
    </row>
    <row r="411" spans="2:122" ht="15.75" thickBot="1" x14ac:dyDescent="0.3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4"/>
    </row>
    <row r="412" spans="2:122" x14ac:dyDescent="0.25">
      <c r="B412" s="1"/>
      <c r="C412" s="31" t="s">
        <v>173</v>
      </c>
      <c r="D412" s="43" t="s">
        <v>174</v>
      </c>
      <c r="E412" s="44"/>
      <c r="F412" s="44"/>
      <c r="G412" s="44"/>
      <c r="H412" s="44"/>
      <c r="I412" s="45"/>
      <c r="J412" s="3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4"/>
    </row>
    <row r="413" spans="2:122" x14ac:dyDescent="0.25">
      <c r="B413" s="1"/>
      <c r="C413" s="33"/>
      <c r="D413" s="34"/>
      <c r="E413" s="34"/>
      <c r="F413" s="34"/>
      <c r="G413" s="34"/>
      <c r="H413" s="34"/>
      <c r="I413" s="3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4"/>
    </row>
    <row r="414" spans="2:122" ht="26.25" x14ac:dyDescent="0.25">
      <c r="B414" s="1"/>
      <c r="C414" s="33"/>
      <c r="D414" s="36" t="s">
        <v>42</v>
      </c>
      <c r="E414" s="36" t="s">
        <v>43</v>
      </c>
      <c r="F414" s="36" t="s">
        <v>44</v>
      </c>
      <c r="G414" s="36" t="s">
        <v>45</v>
      </c>
      <c r="H414" s="36" t="s">
        <v>46</v>
      </c>
      <c r="I414" s="3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4"/>
    </row>
    <row r="415" spans="2:122" x14ac:dyDescent="0.25">
      <c r="B415" s="1"/>
      <c r="C415" s="33"/>
      <c r="D415" s="37"/>
      <c r="E415" s="37"/>
      <c r="F415" s="37"/>
      <c r="G415" s="37"/>
      <c r="H415" s="37"/>
      <c r="I415" s="35"/>
      <c r="J415">
        <f>IF(D415="x",5,0)</f>
        <v>0</v>
      </c>
      <c r="K415">
        <f>IF(E415="x",4,0)</f>
        <v>0</v>
      </c>
      <c r="L415">
        <f>IF(F415="x",3,0)</f>
        <v>0</v>
      </c>
      <c r="M415">
        <f>IF(G415="x",2,0)</f>
        <v>0</v>
      </c>
      <c r="N415">
        <f>IF(H415="x",1,0)</f>
        <v>0</v>
      </c>
      <c r="O415" s="3" t="str">
        <f>IF(Q415="",SUM(J415:N415),"falso")</f>
        <v>falso</v>
      </c>
      <c r="P415">
        <f>COUNTIF(D415:H415,"x")</f>
        <v>0</v>
      </c>
      <c r="Q415" s="38" t="str">
        <f>IF(P415&lt;1,"error",IF(P415&gt;1,"error",""))</f>
        <v>error</v>
      </c>
      <c r="R415" s="38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4"/>
    </row>
    <row r="416" spans="2:122" ht="15.75" thickBot="1" x14ac:dyDescent="0.3">
      <c r="B416" s="1"/>
      <c r="C416" s="39"/>
      <c r="D416" s="40">
        <v>5</v>
      </c>
      <c r="E416" s="40">
        <v>4</v>
      </c>
      <c r="F416" s="40">
        <v>3</v>
      </c>
      <c r="G416" s="40">
        <v>2</v>
      </c>
      <c r="H416" s="40">
        <v>1</v>
      </c>
      <c r="I416" s="41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4"/>
    </row>
    <row r="417" spans="2:122" ht="15.75" thickBot="1" x14ac:dyDescent="0.3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4"/>
    </row>
    <row r="418" spans="2:122" x14ac:dyDescent="0.25">
      <c r="B418" s="1"/>
      <c r="C418" s="31" t="s">
        <v>175</v>
      </c>
      <c r="D418" s="43" t="s">
        <v>176</v>
      </c>
      <c r="E418" s="44"/>
      <c r="F418" s="44"/>
      <c r="G418" s="44"/>
      <c r="H418" s="44"/>
      <c r="I418" s="45"/>
      <c r="J418" s="3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4"/>
    </row>
    <row r="419" spans="2:122" x14ac:dyDescent="0.25">
      <c r="B419" s="1"/>
      <c r="C419" s="33"/>
      <c r="D419" s="34"/>
      <c r="E419" s="34"/>
      <c r="F419" s="34"/>
      <c r="G419" s="34"/>
      <c r="H419" s="34"/>
      <c r="I419" s="3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4"/>
    </row>
    <row r="420" spans="2:122" ht="26.25" x14ac:dyDescent="0.25">
      <c r="B420" s="1"/>
      <c r="C420" s="33"/>
      <c r="D420" s="36" t="s">
        <v>42</v>
      </c>
      <c r="E420" s="36" t="s">
        <v>43</v>
      </c>
      <c r="F420" s="36" t="s">
        <v>44</v>
      </c>
      <c r="G420" s="36" t="s">
        <v>45</v>
      </c>
      <c r="H420" s="36" t="s">
        <v>46</v>
      </c>
      <c r="I420" s="3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4"/>
    </row>
    <row r="421" spans="2:122" x14ac:dyDescent="0.25">
      <c r="B421" s="1"/>
      <c r="C421" s="33"/>
      <c r="D421" s="37"/>
      <c r="E421" s="37"/>
      <c r="F421" s="37"/>
      <c r="G421" s="37"/>
      <c r="H421" s="37"/>
      <c r="I421" s="35"/>
      <c r="J421">
        <f>IF(D421="x",5,0)</f>
        <v>0</v>
      </c>
      <c r="K421">
        <f>IF(E421="x",4,0)</f>
        <v>0</v>
      </c>
      <c r="L421">
        <f>IF(F421="x",3,0)</f>
        <v>0</v>
      </c>
      <c r="M421">
        <f>IF(G421="x",2,0)</f>
        <v>0</v>
      </c>
      <c r="N421">
        <f>IF(H421="x",1,0)</f>
        <v>0</v>
      </c>
      <c r="O421" s="3" t="str">
        <f>IF(Q421="",SUM(J421:N421),"falso")</f>
        <v>falso</v>
      </c>
      <c r="P421">
        <f>COUNTIF(D421:H421,"x")</f>
        <v>0</v>
      </c>
      <c r="Q421" s="38" t="str">
        <f>IF(P421&lt;1,"error",IF(P421&gt;1,"error",""))</f>
        <v>error</v>
      </c>
      <c r="R421" s="38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4"/>
    </row>
    <row r="422" spans="2:122" ht="15.75" thickBot="1" x14ac:dyDescent="0.3">
      <c r="B422" s="1"/>
      <c r="C422" s="39"/>
      <c r="D422" s="40">
        <v>5</v>
      </c>
      <c r="E422" s="40">
        <v>4</v>
      </c>
      <c r="F422" s="40">
        <v>3</v>
      </c>
      <c r="G422" s="40">
        <v>2</v>
      </c>
      <c r="H422" s="40">
        <v>1</v>
      </c>
      <c r="I422" s="41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4"/>
    </row>
    <row r="423" spans="2:122" ht="15.75" thickBot="1" x14ac:dyDescent="0.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4"/>
    </row>
    <row r="424" spans="2:122" x14ac:dyDescent="0.25">
      <c r="B424" s="1"/>
      <c r="C424" s="31" t="s">
        <v>177</v>
      </c>
      <c r="D424" s="43" t="s">
        <v>178</v>
      </c>
      <c r="E424" s="44"/>
      <c r="F424" s="44"/>
      <c r="G424" s="44"/>
      <c r="H424" s="44"/>
      <c r="I424" s="45"/>
      <c r="J424" s="3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4"/>
    </row>
    <row r="425" spans="2:122" x14ac:dyDescent="0.25">
      <c r="B425" s="1"/>
      <c r="C425" s="33"/>
      <c r="D425" s="34"/>
      <c r="E425" s="34"/>
      <c r="F425" s="34"/>
      <c r="G425" s="34"/>
      <c r="H425" s="34"/>
      <c r="I425" s="3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4"/>
    </row>
    <row r="426" spans="2:122" ht="26.25" x14ac:dyDescent="0.25">
      <c r="B426" s="1"/>
      <c r="C426" s="33"/>
      <c r="D426" s="36" t="s">
        <v>42</v>
      </c>
      <c r="E426" s="36" t="s">
        <v>43</v>
      </c>
      <c r="F426" s="36" t="s">
        <v>44</v>
      </c>
      <c r="G426" s="36" t="s">
        <v>45</v>
      </c>
      <c r="H426" s="36" t="s">
        <v>46</v>
      </c>
      <c r="I426" s="3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4"/>
    </row>
    <row r="427" spans="2:122" x14ac:dyDescent="0.25">
      <c r="B427" s="1"/>
      <c r="C427" s="33"/>
      <c r="D427" s="37"/>
      <c r="E427" s="37"/>
      <c r="F427" s="37"/>
      <c r="G427" s="37"/>
      <c r="H427" s="37"/>
      <c r="I427" s="35"/>
      <c r="J427">
        <f>IF(D427="x",5,0)</f>
        <v>0</v>
      </c>
      <c r="K427">
        <f>IF(E427="x",4,0)</f>
        <v>0</v>
      </c>
      <c r="L427">
        <f>IF(F427="x",3,0)</f>
        <v>0</v>
      </c>
      <c r="M427">
        <f>IF(G427="x",2,0)</f>
        <v>0</v>
      </c>
      <c r="N427">
        <f>IF(H427="x",1,0)</f>
        <v>0</v>
      </c>
      <c r="O427" s="3" t="str">
        <f>IF(Q427="",SUM(J427:N427),"falso")</f>
        <v>falso</v>
      </c>
      <c r="P427">
        <f>COUNTIF(D427:H427,"x")</f>
        <v>0</v>
      </c>
      <c r="Q427" s="38" t="str">
        <f>IF(P427&lt;1,"error",IF(P427&gt;1,"error",""))</f>
        <v>error</v>
      </c>
      <c r="R427" s="38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4"/>
    </row>
    <row r="428" spans="2:122" ht="15.75" thickBot="1" x14ac:dyDescent="0.3">
      <c r="B428" s="1"/>
      <c r="C428" s="39"/>
      <c r="D428" s="40">
        <v>5</v>
      </c>
      <c r="E428" s="40">
        <v>4</v>
      </c>
      <c r="F428" s="40">
        <v>3</v>
      </c>
      <c r="G428" s="40">
        <v>2</v>
      </c>
      <c r="H428" s="40">
        <v>1</v>
      </c>
      <c r="I428" s="41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4"/>
    </row>
    <row r="429" spans="2:122" ht="15.75" thickBot="1" x14ac:dyDescent="0.3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4"/>
    </row>
    <row r="430" spans="2:122" x14ac:dyDescent="0.25">
      <c r="B430" s="1"/>
      <c r="C430" s="31" t="s">
        <v>179</v>
      </c>
      <c r="D430" s="43" t="s">
        <v>180</v>
      </c>
      <c r="E430" s="44"/>
      <c r="F430" s="44"/>
      <c r="G430" s="44"/>
      <c r="H430" s="44"/>
      <c r="I430" s="45"/>
      <c r="J430" s="3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4"/>
    </row>
    <row r="431" spans="2:122" x14ac:dyDescent="0.25">
      <c r="B431" s="1"/>
      <c r="C431" s="33"/>
      <c r="D431" s="34"/>
      <c r="E431" s="34"/>
      <c r="F431" s="34"/>
      <c r="G431" s="34"/>
      <c r="H431" s="34"/>
      <c r="I431" s="3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4"/>
    </row>
    <row r="432" spans="2:122" ht="26.25" x14ac:dyDescent="0.25">
      <c r="B432" s="1"/>
      <c r="C432" s="33"/>
      <c r="D432" s="36" t="s">
        <v>42</v>
      </c>
      <c r="E432" s="36" t="s">
        <v>43</v>
      </c>
      <c r="F432" s="36" t="s">
        <v>44</v>
      </c>
      <c r="G432" s="36" t="s">
        <v>45</v>
      </c>
      <c r="H432" s="36" t="s">
        <v>46</v>
      </c>
      <c r="I432" s="3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4"/>
    </row>
    <row r="433" spans="2:122" x14ac:dyDescent="0.25">
      <c r="B433" s="1"/>
      <c r="C433" s="33"/>
      <c r="D433" s="37"/>
      <c r="E433" s="37"/>
      <c r="F433" s="37"/>
      <c r="G433" s="37"/>
      <c r="H433" s="37"/>
      <c r="I433" s="35"/>
      <c r="J433">
        <f>IF(D433="x",5,0)</f>
        <v>0</v>
      </c>
      <c r="K433">
        <f>IF(E433="x",4,0)</f>
        <v>0</v>
      </c>
      <c r="L433">
        <f>IF(F433="x",3,0)</f>
        <v>0</v>
      </c>
      <c r="M433">
        <f>IF(G433="x",2,0)</f>
        <v>0</v>
      </c>
      <c r="N433">
        <f>IF(H433="x",1,0)</f>
        <v>0</v>
      </c>
      <c r="O433" s="3" t="str">
        <f>IF(Q433="",SUM(J433:N433),"falso")</f>
        <v>falso</v>
      </c>
      <c r="P433">
        <f>COUNTIF(D433:H433,"x")</f>
        <v>0</v>
      </c>
      <c r="Q433" s="38" t="str">
        <f>IF(P433&lt;1,"error",IF(P433&gt;1,"error",""))</f>
        <v>error</v>
      </c>
      <c r="R433" s="38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4"/>
    </row>
    <row r="434" spans="2:122" ht="15.75" thickBot="1" x14ac:dyDescent="0.3">
      <c r="B434" s="1"/>
      <c r="C434" s="39"/>
      <c r="D434" s="40">
        <v>5</v>
      </c>
      <c r="E434" s="40">
        <v>4</v>
      </c>
      <c r="F434" s="40">
        <v>3</v>
      </c>
      <c r="G434" s="40">
        <v>2</v>
      </c>
      <c r="H434" s="40">
        <v>1</v>
      </c>
      <c r="I434" s="41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4"/>
    </row>
    <row r="435" spans="2:122" ht="15.75" thickBot="1" x14ac:dyDescent="0.3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4"/>
    </row>
    <row r="436" spans="2:122" x14ac:dyDescent="0.25">
      <c r="B436" s="1"/>
      <c r="C436" s="31" t="s">
        <v>181</v>
      </c>
      <c r="D436" s="43" t="s">
        <v>182</v>
      </c>
      <c r="E436" s="44"/>
      <c r="F436" s="44"/>
      <c r="G436" s="44"/>
      <c r="H436" s="44"/>
      <c r="I436" s="45"/>
      <c r="J436" s="3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4"/>
    </row>
    <row r="437" spans="2:122" x14ac:dyDescent="0.25">
      <c r="B437" s="1"/>
      <c r="C437" s="33"/>
      <c r="D437" s="34"/>
      <c r="E437" s="34"/>
      <c r="F437" s="34"/>
      <c r="G437" s="34"/>
      <c r="H437" s="34"/>
      <c r="I437" s="3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4"/>
    </row>
    <row r="438" spans="2:122" ht="26.25" x14ac:dyDescent="0.25">
      <c r="B438" s="1"/>
      <c r="C438" s="33"/>
      <c r="D438" s="36" t="s">
        <v>42</v>
      </c>
      <c r="E438" s="36" t="s">
        <v>43</v>
      </c>
      <c r="F438" s="36" t="s">
        <v>44</v>
      </c>
      <c r="G438" s="36" t="s">
        <v>45</v>
      </c>
      <c r="H438" s="36" t="s">
        <v>46</v>
      </c>
      <c r="I438" s="3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4"/>
    </row>
    <row r="439" spans="2:122" x14ac:dyDescent="0.25">
      <c r="B439" s="1"/>
      <c r="C439" s="33"/>
      <c r="D439" s="37"/>
      <c r="E439" s="37"/>
      <c r="F439" s="37"/>
      <c r="G439" s="37"/>
      <c r="H439" s="37"/>
      <c r="I439" s="35"/>
      <c r="J439">
        <f>IF(D439="x",5,0)</f>
        <v>0</v>
      </c>
      <c r="K439">
        <f>IF(E439="x",4,0)</f>
        <v>0</v>
      </c>
      <c r="L439">
        <f>IF(F439="x",3,0)</f>
        <v>0</v>
      </c>
      <c r="M439">
        <f>IF(G439="x",2,0)</f>
        <v>0</v>
      </c>
      <c r="N439">
        <f>IF(H439="x",1,0)</f>
        <v>0</v>
      </c>
      <c r="O439" s="3" t="str">
        <f>IF(Q439="",SUM(J439:N439),"falso")</f>
        <v>falso</v>
      </c>
      <c r="P439">
        <f>COUNTIF(D439:H439,"x")</f>
        <v>0</v>
      </c>
      <c r="Q439" s="38" t="str">
        <f>IF(P439&lt;1,"error",IF(P439&gt;1,"error",""))</f>
        <v>error</v>
      </c>
      <c r="R439" s="38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4"/>
    </row>
    <row r="440" spans="2:122" ht="15.75" thickBot="1" x14ac:dyDescent="0.3">
      <c r="B440" s="1"/>
      <c r="C440" s="39"/>
      <c r="D440" s="40">
        <v>5</v>
      </c>
      <c r="E440" s="40">
        <v>4</v>
      </c>
      <c r="F440" s="40">
        <v>3</v>
      </c>
      <c r="G440" s="40">
        <v>2</v>
      </c>
      <c r="H440" s="40">
        <v>1</v>
      </c>
      <c r="I440" s="41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4"/>
    </row>
    <row r="441" spans="2:122" ht="15.75" thickBot="1" x14ac:dyDescent="0.3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4"/>
    </row>
    <row r="442" spans="2:122" x14ac:dyDescent="0.25">
      <c r="B442" s="1"/>
      <c r="C442" s="31" t="s">
        <v>183</v>
      </c>
      <c r="D442" s="43" t="s">
        <v>184</v>
      </c>
      <c r="E442" s="44"/>
      <c r="F442" s="44"/>
      <c r="G442" s="44"/>
      <c r="H442" s="44"/>
      <c r="I442" s="45"/>
      <c r="J442" s="3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4"/>
    </row>
    <row r="443" spans="2:122" x14ac:dyDescent="0.25">
      <c r="B443" s="1"/>
      <c r="C443" s="33"/>
      <c r="D443" s="34"/>
      <c r="E443" s="34"/>
      <c r="F443" s="34"/>
      <c r="G443" s="34"/>
      <c r="H443" s="34"/>
      <c r="I443" s="3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4"/>
    </row>
    <row r="444" spans="2:122" ht="26.25" x14ac:dyDescent="0.25">
      <c r="B444" s="1"/>
      <c r="C444" s="33"/>
      <c r="D444" s="36" t="s">
        <v>42</v>
      </c>
      <c r="E444" s="36" t="s">
        <v>43</v>
      </c>
      <c r="F444" s="36" t="s">
        <v>44</v>
      </c>
      <c r="G444" s="36" t="s">
        <v>45</v>
      </c>
      <c r="H444" s="36" t="s">
        <v>46</v>
      </c>
      <c r="I444" s="3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4"/>
    </row>
    <row r="445" spans="2:122" x14ac:dyDescent="0.25">
      <c r="B445" s="1"/>
      <c r="C445" s="33"/>
      <c r="D445" s="37"/>
      <c r="E445" s="37"/>
      <c r="F445" s="37"/>
      <c r="G445" s="37"/>
      <c r="H445" s="37"/>
      <c r="I445" s="35"/>
      <c r="J445">
        <f>IF(D445="x",5,0)</f>
        <v>0</v>
      </c>
      <c r="K445">
        <f>IF(E445="x",4,0)</f>
        <v>0</v>
      </c>
      <c r="L445">
        <f>IF(F445="x",3,0)</f>
        <v>0</v>
      </c>
      <c r="M445">
        <f>IF(G445="x",2,0)</f>
        <v>0</v>
      </c>
      <c r="N445">
        <f>IF(H445="x",1,0)</f>
        <v>0</v>
      </c>
      <c r="O445" s="3" t="str">
        <f>IF(Q445="",SUM(J445:N445),"falso")</f>
        <v>falso</v>
      </c>
      <c r="P445">
        <f>COUNTIF(D445:H445,"x")</f>
        <v>0</v>
      </c>
      <c r="Q445" s="38" t="str">
        <f>IF(P445&lt;1,"error",IF(P445&gt;1,"error",""))</f>
        <v>error</v>
      </c>
      <c r="R445" s="38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4"/>
    </row>
    <row r="446" spans="2:122" ht="15.75" thickBot="1" x14ac:dyDescent="0.3">
      <c r="B446" s="1"/>
      <c r="C446" s="39"/>
      <c r="D446" s="40">
        <v>5</v>
      </c>
      <c r="E446" s="40">
        <v>4</v>
      </c>
      <c r="F446" s="40">
        <v>3</v>
      </c>
      <c r="G446" s="40">
        <v>2</v>
      </c>
      <c r="H446" s="40">
        <v>1</v>
      </c>
      <c r="I446" s="41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4"/>
    </row>
    <row r="447" spans="2:122" ht="15.75" thickBot="1" x14ac:dyDescent="0.3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4"/>
    </row>
    <row r="448" spans="2:122" x14ac:dyDescent="0.25">
      <c r="B448" s="1"/>
      <c r="C448" s="31" t="s">
        <v>185</v>
      </c>
      <c r="D448" s="43" t="s">
        <v>186</v>
      </c>
      <c r="E448" s="44"/>
      <c r="F448" s="44"/>
      <c r="G448" s="44"/>
      <c r="H448" s="44"/>
      <c r="I448" s="45"/>
      <c r="J448" s="3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4"/>
    </row>
    <row r="449" spans="2:122" x14ac:dyDescent="0.25">
      <c r="B449" s="1"/>
      <c r="C449" s="33"/>
      <c r="D449" s="34"/>
      <c r="E449" s="34"/>
      <c r="F449" s="34"/>
      <c r="G449" s="34"/>
      <c r="H449" s="34"/>
      <c r="I449" s="3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4"/>
    </row>
    <row r="450" spans="2:122" ht="26.25" x14ac:dyDescent="0.25">
      <c r="B450" s="1"/>
      <c r="C450" s="33"/>
      <c r="D450" s="36" t="s">
        <v>42</v>
      </c>
      <c r="E450" s="36" t="s">
        <v>43</v>
      </c>
      <c r="F450" s="36" t="s">
        <v>44</v>
      </c>
      <c r="G450" s="36" t="s">
        <v>45</v>
      </c>
      <c r="H450" s="36" t="s">
        <v>46</v>
      </c>
      <c r="I450" s="3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4"/>
    </row>
    <row r="451" spans="2:122" x14ac:dyDescent="0.25">
      <c r="B451" s="1"/>
      <c r="C451" s="33"/>
      <c r="D451" s="37"/>
      <c r="E451" s="37"/>
      <c r="F451" s="37"/>
      <c r="G451" s="37"/>
      <c r="H451" s="37"/>
      <c r="I451" s="35"/>
      <c r="J451">
        <f>IF(D451="x",5,0)</f>
        <v>0</v>
      </c>
      <c r="K451">
        <f>IF(E451="x",4,0)</f>
        <v>0</v>
      </c>
      <c r="L451">
        <f>IF(F451="x",3,0)</f>
        <v>0</v>
      </c>
      <c r="M451">
        <f>IF(G451="x",2,0)</f>
        <v>0</v>
      </c>
      <c r="N451">
        <f>IF(H451="x",1,0)</f>
        <v>0</v>
      </c>
      <c r="O451" s="3" t="str">
        <f>IF(Q451="",SUM(J451:N451),"falso")</f>
        <v>falso</v>
      </c>
      <c r="P451">
        <f>COUNTIF(D451:H451,"x")</f>
        <v>0</v>
      </c>
      <c r="Q451" s="38" t="str">
        <f>IF(P451&lt;1,"error",IF(P451&gt;1,"error",""))</f>
        <v>error</v>
      </c>
      <c r="R451" s="38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4"/>
    </row>
    <row r="452" spans="2:122" ht="15.75" thickBot="1" x14ac:dyDescent="0.3">
      <c r="B452" s="1"/>
      <c r="C452" s="39"/>
      <c r="D452" s="40">
        <v>5</v>
      </c>
      <c r="E452" s="40">
        <v>4</v>
      </c>
      <c r="F452" s="40">
        <v>3</v>
      </c>
      <c r="G452" s="40">
        <v>2</v>
      </c>
      <c r="H452" s="40">
        <v>1</v>
      </c>
      <c r="I452" s="41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4"/>
    </row>
    <row r="453" spans="2:122" ht="15.75" thickBot="1" x14ac:dyDescent="0.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4"/>
    </row>
    <row r="454" spans="2:122" x14ac:dyDescent="0.25">
      <c r="B454" s="1"/>
      <c r="C454" s="31" t="s">
        <v>187</v>
      </c>
      <c r="D454" s="43" t="s">
        <v>188</v>
      </c>
      <c r="E454" s="44"/>
      <c r="F454" s="44"/>
      <c r="G454" s="44"/>
      <c r="H454" s="44"/>
      <c r="I454" s="45"/>
      <c r="J454" s="3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4"/>
    </row>
    <row r="455" spans="2:122" x14ac:dyDescent="0.25">
      <c r="B455" s="1"/>
      <c r="C455" s="33"/>
      <c r="D455" s="34"/>
      <c r="E455" s="34"/>
      <c r="F455" s="34"/>
      <c r="G455" s="34"/>
      <c r="H455" s="34"/>
      <c r="I455" s="3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4"/>
    </row>
    <row r="456" spans="2:122" ht="26.25" x14ac:dyDescent="0.25">
      <c r="B456" s="1"/>
      <c r="C456" s="33"/>
      <c r="D456" s="36" t="s">
        <v>42</v>
      </c>
      <c r="E456" s="36" t="s">
        <v>43</v>
      </c>
      <c r="F456" s="36" t="s">
        <v>44</v>
      </c>
      <c r="G456" s="36" t="s">
        <v>45</v>
      </c>
      <c r="H456" s="36" t="s">
        <v>46</v>
      </c>
      <c r="I456" s="3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4"/>
    </row>
    <row r="457" spans="2:122" x14ac:dyDescent="0.25">
      <c r="B457" s="1"/>
      <c r="C457" s="33"/>
      <c r="D457" s="37"/>
      <c r="E457" s="37"/>
      <c r="F457" s="37"/>
      <c r="G457" s="37"/>
      <c r="H457" s="37"/>
      <c r="I457" s="35"/>
      <c r="J457">
        <f>IF(D457="x",5,0)</f>
        <v>0</v>
      </c>
      <c r="K457">
        <f>IF(E457="x",4,0)</f>
        <v>0</v>
      </c>
      <c r="L457">
        <f>IF(F457="x",3,0)</f>
        <v>0</v>
      </c>
      <c r="M457">
        <f>IF(G457="x",2,0)</f>
        <v>0</v>
      </c>
      <c r="N457">
        <f>IF(H457="x",1,0)</f>
        <v>0</v>
      </c>
      <c r="O457" s="3" t="str">
        <f>IF(Q457="",SUM(J457:N457),"falso")</f>
        <v>falso</v>
      </c>
      <c r="P457">
        <f>COUNTIF(D457:H457,"x")</f>
        <v>0</v>
      </c>
      <c r="Q457" s="38" t="str">
        <f>IF(P457&lt;1,"error",IF(P457&gt;1,"error",""))</f>
        <v>error</v>
      </c>
      <c r="R457" s="38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4"/>
    </row>
    <row r="458" spans="2:122" ht="15.75" thickBot="1" x14ac:dyDescent="0.3">
      <c r="B458" s="1"/>
      <c r="C458" s="39"/>
      <c r="D458" s="40">
        <v>5</v>
      </c>
      <c r="E458" s="40">
        <v>4</v>
      </c>
      <c r="F458" s="40">
        <v>3</v>
      </c>
      <c r="G458" s="40">
        <v>2</v>
      </c>
      <c r="H458" s="40">
        <v>1</v>
      </c>
      <c r="I458" s="41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4"/>
    </row>
    <row r="459" spans="2:122" ht="15.75" thickBot="1" x14ac:dyDescent="0.3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4"/>
    </row>
    <row r="460" spans="2:122" x14ac:dyDescent="0.25">
      <c r="B460" s="1"/>
      <c r="C460" s="31" t="s">
        <v>189</v>
      </c>
      <c r="D460" s="43" t="s">
        <v>190</v>
      </c>
      <c r="E460" s="44"/>
      <c r="F460" s="44"/>
      <c r="G460" s="44"/>
      <c r="H460" s="44"/>
      <c r="I460" s="45"/>
      <c r="J460" s="3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4"/>
    </row>
    <row r="461" spans="2:122" x14ac:dyDescent="0.25">
      <c r="B461" s="1"/>
      <c r="C461" s="33"/>
      <c r="D461" s="34"/>
      <c r="E461" s="34"/>
      <c r="F461" s="34"/>
      <c r="G461" s="34"/>
      <c r="H461" s="34"/>
      <c r="I461" s="3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4"/>
    </row>
    <row r="462" spans="2:122" ht="26.25" x14ac:dyDescent="0.25">
      <c r="B462" s="1"/>
      <c r="C462" s="33"/>
      <c r="D462" s="36" t="s">
        <v>42</v>
      </c>
      <c r="E462" s="36" t="s">
        <v>43</v>
      </c>
      <c r="F462" s="36" t="s">
        <v>44</v>
      </c>
      <c r="G462" s="36" t="s">
        <v>45</v>
      </c>
      <c r="H462" s="36" t="s">
        <v>46</v>
      </c>
      <c r="I462" s="3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4"/>
    </row>
    <row r="463" spans="2:122" x14ac:dyDescent="0.25">
      <c r="B463" s="1"/>
      <c r="C463" s="33"/>
      <c r="D463" s="37"/>
      <c r="E463" s="37"/>
      <c r="F463" s="37"/>
      <c r="G463" s="37"/>
      <c r="H463" s="37"/>
      <c r="I463" s="35"/>
      <c r="J463">
        <f>IF(D463="x",5,0)</f>
        <v>0</v>
      </c>
      <c r="K463">
        <f>IF(E463="x",4,0)</f>
        <v>0</v>
      </c>
      <c r="L463">
        <f>IF(F463="x",3,0)</f>
        <v>0</v>
      </c>
      <c r="M463">
        <f>IF(G463="x",2,0)</f>
        <v>0</v>
      </c>
      <c r="N463">
        <f>IF(H463="x",1,0)</f>
        <v>0</v>
      </c>
      <c r="O463" s="3" t="str">
        <f>IF(Q463="",SUM(J463:N463),"falso")</f>
        <v>falso</v>
      </c>
      <c r="P463">
        <f>COUNTIF(D463:H463,"x")</f>
        <v>0</v>
      </c>
      <c r="Q463" s="38" t="str">
        <f>IF(P463&lt;1,"error",IF(P463&gt;1,"error",""))</f>
        <v>error</v>
      </c>
      <c r="R463" s="38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4"/>
    </row>
    <row r="464" spans="2:122" ht="15.75" thickBot="1" x14ac:dyDescent="0.3">
      <c r="B464" s="1"/>
      <c r="C464" s="39"/>
      <c r="D464" s="40">
        <v>5</v>
      </c>
      <c r="E464" s="40">
        <v>4</v>
      </c>
      <c r="F464" s="40">
        <v>3</v>
      </c>
      <c r="G464" s="40">
        <v>2</v>
      </c>
      <c r="H464" s="40">
        <v>1</v>
      </c>
      <c r="I464" s="41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4"/>
    </row>
    <row r="465" spans="2:122" ht="15.75" thickBot="1" x14ac:dyDescent="0.3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4"/>
    </row>
    <row r="466" spans="2:122" x14ac:dyDescent="0.25">
      <c r="B466" s="1"/>
      <c r="C466" s="31" t="s">
        <v>191</v>
      </c>
      <c r="D466" s="43" t="s">
        <v>192</v>
      </c>
      <c r="E466" s="44"/>
      <c r="F466" s="44"/>
      <c r="G466" s="44"/>
      <c r="H466" s="44"/>
      <c r="I466" s="45"/>
      <c r="J466" s="3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4"/>
    </row>
    <row r="467" spans="2:122" x14ac:dyDescent="0.25">
      <c r="B467" s="1"/>
      <c r="C467" s="33"/>
      <c r="D467" s="34"/>
      <c r="E467" s="34"/>
      <c r="F467" s="34"/>
      <c r="G467" s="34"/>
      <c r="H467" s="34"/>
      <c r="I467" s="3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4"/>
    </row>
    <row r="468" spans="2:122" ht="26.25" x14ac:dyDescent="0.25">
      <c r="B468" s="1"/>
      <c r="C468" s="33"/>
      <c r="D468" s="36" t="s">
        <v>42</v>
      </c>
      <c r="E468" s="36" t="s">
        <v>43</v>
      </c>
      <c r="F468" s="36" t="s">
        <v>44</v>
      </c>
      <c r="G468" s="36" t="s">
        <v>45</v>
      </c>
      <c r="H468" s="36" t="s">
        <v>46</v>
      </c>
      <c r="I468" s="3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4"/>
    </row>
    <row r="469" spans="2:122" x14ac:dyDescent="0.25">
      <c r="B469" s="1"/>
      <c r="C469" s="33"/>
      <c r="D469" s="37"/>
      <c r="E469" s="37"/>
      <c r="F469" s="37"/>
      <c r="G469" s="37"/>
      <c r="H469" s="37"/>
      <c r="I469" s="35"/>
      <c r="J469">
        <f>IF(D469="x",5,0)</f>
        <v>0</v>
      </c>
      <c r="K469">
        <f>IF(E469="x",4,0)</f>
        <v>0</v>
      </c>
      <c r="L469">
        <f>IF(F469="x",3,0)</f>
        <v>0</v>
      </c>
      <c r="M469">
        <f>IF(G469="x",2,0)</f>
        <v>0</v>
      </c>
      <c r="N469">
        <f>IF(H469="x",1,0)</f>
        <v>0</v>
      </c>
      <c r="O469" s="3" t="str">
        <f>IF(Q469="",SUM(J469:N469),"falso")</f>
        <v>falso</v>
      </c>
      <c r="P469">
        <f>COUNTIF(D469:H469,"x")</f>
        <v>0</v>
      </c>
      <c r="Q469" s="38" t="str">
        <f>IF(P469&lt;1,"error",IF(P469&gt;1,"error",""))</f>
        <v>error</v>
      </c>
      <c r="R469" s="38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4"/>
    </row>
    <row r="470" spans="2:122" ht="15.75" thickBot="1" x14ac:dyDescent="0.3">
      <c r="B470" s="1"/>
      <c r="C470" s="39"/>
      <c r="D470" s="40">
        <v>5</v>
      </c>
      <c r="E470" s="40">
        <v>4</v>
      </c>
      <c r="F470" s="40">
        <v>3</v>
      </c>
      <c r="G470" s="40">
        <v>2</v>
      </c>
      <c r="H470" s="40">
        <v>1</v>
      </c>
      <c r="I470" s="41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4"/>
    </row>
    <row r="471" spans="2:122" ht="15.75" thickBot="1" x14ac:dyDescent="0.3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4"/>
    </row>
    <row r="472" spans="2:122" x14ac:dyDescent="0.25">
      <c r="B472" s="1"/>
      <c r="C472" s="31" t="s">
        <v>193</v>
      </c>
      <c r="D472" s="43" t="s">
        <v>194</v>
      </c>
      <c r="E472" s="44"/>
      <c r="F472" s="44"/>
      <c r="G472" s="44"/>
      <c r="H472" s="44"/>
      <c r="I472" s="45"/>
      <c r="J472" s="3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4"/>
    </row>
    <row r="473" spans="2:122" x14ac:dyDescent="0.25">
      <c r="B473" s="1"/>
      <c r="C473" s="33"/>
      <c r="D473" s="34"/>
      <c r="E473" s="34"/>
      <c r="F473" s="34"/>
      <c r="G473" s="34"/>
      <c r="H473" s="34"/>
      <c r="I473" s="3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4"/>
    </row>
    <row r="474" spans="2:122" ht="26.25" x14ac:dyDescent="0.25">
      <c r="B474" s="1"/>
      <c r="C474" s="33"/>
      <c r="D474" s="36" t="s">
        <v>42</v>
      </c>
      <c r="E474" s="36" t="s">
        <v>43</v>
      </c>
      <c r="F474" s="36" t="s">
        <v>44</v>
      </c>
      <c r="G474" s="36" t="s">
        <v>45</v>
      </c>
      <c r="H474" s="36" t="s">
        <v>46</v>
      </c>
      <c r="I474" s="3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4"/>
    </row>
    <row r="475" spans="2:122" x14ac:dyDescent="0.25">
      <c r="B475" s="1"/>
      <c r="C475" s="33"/>
      <c r="D475" s="37"/>
      <c r="E475" s="37"/>
      <c r="F475" s="37"/>
      <c r="G475" s="37"/>
      <c r="H475" s="37"/>
      <c r="I475" s="35"/>
      <c r="J475">
        <f>IF(D475="x",5,0)</f>
        <v>0</v>
      </c>
      <c r="K475">
        <f>IF(E475="x",4,0)</f>
        <v>0</v>
      </c>
      <c r="L475">
        <f>IF(F475="x",3,0)</f>
        <v>0</v>
      </c>
      <c r="M475">
        <f>IF(G475="x",2,0)</f>
        <v>0</v>
      </c>
      <c r="N475">
        <f>IF(H475="x",1,0)</f>
        <v>0</v>
      </c>
      <c r="O475" s="3" t="str">
        <f>IF(Q475="",SUM(J475:N475),"falso")</f>
        <v>falso</v>
      </c>
      <c r="P475">
        <f>COUNTIF(D475:H475,"x")</f>
        <v>0</v>
      </c>
      <c r="Q475" s="38" t="str">
        <f>IF(P475&lt;1,"error",IF(P475&gt;1,"error",""))</f>
        <v>error</v>
      </c>
      <c r="R475" s="38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4"/>
    </row>
    <row r="476" spans="2:122" ht="15.75" thickBot="1" x14ac:dyDescent="0.3">
      <c r="B476" s="1"/>
      <c r="C476" s="39"/>
      <c r="D476" s="40">
        <v>5</v>
      </c>
      <c r="E476" s="40">
        <v>4</v>
      </c>
      <c r="F476" s="40">
        <v>3</v>
      </c>
      <c r="G476" s="40">
        <v>2</v>
      </c>
      <c r="H476" s="40">
        <v>1</v>
      </c>
      <c r="I476" s="41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4"/>
    </row>
    <row r="477" spans="2:122" ht="15.75" thickBot="1" x14ac:dyDescent="0.3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4"/>
    </row>
    <row r="478" spans="2:122" x14ac:dyDescent="0.25">
      <c r="B478" s="1"/>
      <c r="C478" s="31" t="s">
        <v>195</v>
      </c>
      <c r="D478" s="43" t="s">
        <v>196</v>
      </c>
      <c r="E478" s="44"/>
      <c r="F478" s="44"/>
      <c r="G478" s="44"/>
      <c r="H478" s="44"/>
      <c r="I478" s="45"/>
      <c r="J478" s="3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4"/>
    </row>
    <row r="479" spans="2:122" x14ac:dyDescent="0.25">
      <c r="B479" s="1"/>
      <c r="C479" s="33"/>
      <c r="D479" s="34"/>
      <c r="E479" s="34"/>
      <c r="F479" s="34"/>
      <c r="G479" s="34"/>
      <c r="H479" s="34"/>
      <c r="I479" s="3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4"/>
    </row>
    <row r="480" spans="2:122" ht="26.25" x14ac:dyDescent="0.25">
      <c r="B480" s="1"/>
      <c r="C480" s="33"/>
      <c r="D480" s="36" t="s">
        <v>42</v>
      </c>
      <c r="E480" s="36" t="s">
        <v>43</v>
      </c>
      <c r="F480" s="36" t="s">
        <v>44</v>
      </c>
      <c r="G480" s="36" t="s">
        <v>45</v>
      </c>
      <c r="H480" s="36" t="s">
        <v>46</v>
      </c>
      <c r="I480" s="3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4"/>
    </row>
    <row r="481" spans="2:122" x14ac:dyDescent="0.25">
      <c r="B481" s="1"/>
      <c r="C481" s="33"/>
      <c r="D481" s="37"/>
      <c r="E481" s="37"/>
      <c r="F481" s="37"/>
      <c r="G481" s="37"/>
      <c r="H481" s="37"/>
      <c r="I481" s="35"/>
      <c r="J481">
        <f>IF(D481="x",5,0)</f>
        <v>0</v>
      </c>
      <c r="K481">
        <f>IF(E481="x",4,0)</f>
        <v>0</v>
      </c>
      <c r="L481">
        <f>IF(F481="x",3,0)</f>
        <v>0</v>
      </c>
      <c r="M481">
        <f>IF(G481="x",2,0)</f>
        <v>0</v>
      </c>
      <c r="N481">
        <f>IF(H481="x",1,0)</f>
        <v>0</v>
      </c>
      <c r="O481" s="3" t="str">
        <f>IF(Q481="",SUM(J481:N481),"falso")</f>
        <v>falso</v>
      </c>
      <c r="P481">
        <f>COUNTIF(D481:H481,"x")</f>
        <v>0</v>
      </c>
      <c r="Q481" s="38" t="str">
        <f>IF(P481&lt;1,"error",IF(P481&gt;1,"error",""))</f>
        <v>error</v>
      </c>
      <c r="R481" s="38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4"/>
    </row>
    <row r="482" spans="2:122" ht="15.75" thickBot="1" x14ac:dyDescent="0.3">
      <c r="B482" s="1"/>
      <c r="C482" s="39"/>
      <c r="D482" s="40">
        <v>5</v>
      </c>
      <c r="E482" s="40">
        <v>4</v>
      </c>
      <c r="F482" s="40">
        <v>3</v>
      </c>
      <c r="G482" s="40">
        <v>2</v>
      </c>
      <c r="H482" s="40">
        <v>1</v>
      </c>
      <c r="I482" s="41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4"/>
    </row>
    <row r="483" spans="2:122" ht="15.75" thickBot="1" x14ac:dyDescent="0.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4"/>
    </row>
    <row r="484" spans="2:122" x14ac:dyDescent="0.25">
      <c r="B484" s="1"/>
      <c r="C484" s="31" t="s">
        <v>197</v>
      </c>
      <c r="D484" s="43" t="s">
        <v>198</v>
      </c>
      <c r="E484" s="44"/>
      <c r="F484" s="44"/>
      <c r="G484" s="44"/>
      <c r="H484" s="44"/>
      <c r="I484" s="45"/>
      <c r="J484" s="3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4"/>
    </row>
    <row r="485" spans="2:122" x14ac:dyDescent="0.25">
      <c r="B485" s="1"/>
      <c r="C485" s="33"/>
      <c r="D485" s="34"/>
      <c r="E485" s="34"/>
      <c r="F485" s="34"/>
      <c r="G485" s="34"/>
      <c r="H485" s="34"/>
      <c r="I485" s="3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4"/>
    </row>
    <row r="486" spans="2:122" ht="26.25" x14ac:dyDescent="0.25">
      <c r="B486" s="1"/>
      <c r="C486" s="33"/>
      <c r="D486" s="36" t="s">
        <v>42</v>
      </c>
      <c r="E486" s="36" t="s">
        <v>43</v>
      </c>
      <c r="F486" s="36" t="s">
        <v>44</v>
      </c>
      <c r="G486" s="36" t="s">
        <v>45</v>
      </c>
      <c r="H486" s="36" t="s">
        <v>46</v>
      </c>
      <c r="I486" s="3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4"/>
    </row>
    <row r="487" spans="2:122" x14ac:dyDescent="0.25">
      <c r="B487" s="1"/>
      <c r="C487" s="33"/>
      <c r="D487" s="37"/>
      <c r="E487" s="37"/>
      <c r="F487" s="37"/>
      <c r="G487" s="37"/>
      <c r="H487" s="37"/>
      <c r="I487" s="35"/>
      <c r="J487">
        <f>IF(D487="x",5,0)</f>
        <v>0</v>
      </c>
      <c r="K487">
        <f>IF(E487="x",4,0)</f>
        <v>0</v>
      </c>
      <c r="L487">
        <f>IF(F487="x",3,0)</f>
        <v>0</v>
      </c>
      <c r="M487">
        <f>IF(G487="x",2,0)</f>
        <v>0</v>
      </c>
      <c r="N487">
        <f>IF(H487="x",1,0)</f>
        <v>0</v>
      </c>
      <c r="O487" s="3" t="str">
        <f>IF(Q487="",SUM(J487:N487),"falso")</f>
        <v>falso</v>
      </c>
      <c r="P487">
        <f>COUNTIF(D487:H487,"x")</f>
        <v>0</v>
      </c>
      <c r="Q487" s="38" t="str">
        <f>IF(P487&lt;1,"error",IF(P487&gt;1,"error",""))</f>
        <v>error</v>
      </c>
      <c r="R487" s="38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4"/>
    </row>
    <row r="488" spans="2:122" ht="15.75" thickBot="1" x14ac:dyDescent="0.3">
      <c r="B488" s="1"/>
      <c r="C488" s="39"/>
      <c r="D488" s="40">
        <v>5</v>
      </c>
      <c r="E488" s="40">
        <v>4</v>
      </c>
      <c r="F488" s="40">
        <v>3</v>
      </c>
      <c r="G488" s="40">
        <v>2</v>
      </c>
      <c r="H488" s="40">
        <v>1</v>
      </c>
      <c r="I488" s="41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4"/>
    </row>
    <row r="489" spans="2:122" ht="15.75" thickBot="1" x14ac:dyDescent="0.3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4"/>
    </row>
    <row r="490" spans="2:122" x14ac:dyDescent="0.25">
      <c r="B490" s="1"/>
      <c r="C490" s="31" t="s">
        <v>199</v>
      </c>
      <c r="D490" s="43" t="s">
        <v>200</v>
      </c>
      <c r="E490" s="44"/>
      <c r="F490" s="44"/>
      <c r="G490" s="44"/>
      <c r="H490" s="44"/>
      <c r="I490" s="45"/>
      <c r="J490" s="3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4"/>
    </row>
    <row r="491" spans="2:122" x14ac:dyDescent="0.25">
      <c r="B491" s="1"/>
      <c r="C491" s="33"/>
      <c r="D491" s="34"/>
      <c r="E491" s="34"/>
      <c r="F491" s="34"/>
      <c r="G491" s="34"/>
      <c r="H491" s="34"/>
      <c r="I491" s="3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4"/>
    </row>
    <row r="492" spans="2:122" ht="26.25" x14ac:dyDescent="0.25">
      <c r="B492" s="1"/>
      <c r="C492" s="33"/>
      <c r="D492" s="36" t="s">
        <v>42</v>
      </c>
      <c r="E492" s="36" t="s">
        <v>43</v>
      </c>
      <c r="F492" s="36" t="s">
        <v>44</v>
      </c>
      <c r="G492" s="36" t="s">
        <v>45</v>
      </c>
      <c r="H492" s="36" t="s">
        <v>46</v>
      </c>
      <c r="I492" s="3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4"/>
    </row>
    <row r="493" spans="2:122" x14ac:dyDescent="0.25">
      <c r="B493" s="1"/>
      <c r="C493" s="33"/>
      <c r="D493" s="37"/>
      <c r="E493" s="37"/>
      <c r="F493" s="37"/>
      <c r="G493" s="37"/>
      <c r="H493" s="37"/>
      <c r="I493" s="35"/>
      <c r="J493">
        <f>IF(D493="x",5,0)</f>
        <v>0</v>
      </c>
      <c r="K493">
        <f>IF(E493="x",4,0)</f>
        <v>0</v>
      </c>
      <c r="L493">
        <f>IF(F493="x",3,0)</f>
        <v>0</v>
      </c>
      <c r="M493">
        <f>IF(G493="x",2,0)</f>
        <v>0</v>
      </c>
      <c r="N493">
        <f>IF(H493="x",1,0)</f>
        <v>0</v>
      </c>
      <c r="O493" s="3" t="str">
        <f>IF(Q493="",SUM(J493:N493),"falso")</f>
        <v>falso</v>
      </c>
      <c r="P493">
        <f>COUNTIF(D493:H493,"x")</f>
        <v>0</v>
      </c>
      <c r="Q493" s="38" t="str">
        <f>IF(P493&lt;1,"error",IF(P493&gt;1,"error",""))</f>
        <v>error</v>
      </c>
      <c r="R493" s="38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4"/>
    </row>
    <row r="494" spans="2:122" ht="15.75" thickBot="1" x14ac:dyDescent="0.3">
      <c r="B494" s="1"/>
      <c r="C494" s="39"/>
      <c r="D494" s="40">
        <v>5</v>
      </c>
      <c r="E494" s="40">
        <v>4</v>
      </c>
      <c r="F494" s="40">
        <v>3</v>
      </c>
      <c r="G494" s="40">
        <v>2</v>
      </c>
      <c r="H494" s="40">
        <v>1</v>
      </c>
      <c r="I494" s="41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4"/>
    </row>
    <row r="495" spans="2:122" ht="15.75" thickBot="1" x14ac:dyDescent="0.3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4"/>
    </row>
    <row r="496" spans="2:122" x14ac:dyDescent="0.25">
      <c r="B496" s="1"/>
      <c r="C496" s="31" t="s">
        <v>201</v>
      </c>
      <c r="D496" s="43" t="s">
        <v>202</v>
      </c>
      <c r="E496" s="44"/>
      <c r="F496" s="44"/>
      <c r="G496" s="44"/>
      <c r="H496" s="44"/>
      <c r="I496" s="45"/>
      <c r="J496" s="3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4"/>
    </row>
    <row r="497" spans="2:122" x14ac:dyDescent="0.25">
      <c r="B497" s="1"/>
      <c r="C497" s="33"/>
      <c r="D497" s="34"/>
      <c r="E497" s="34"/>
      <c r="F497" s="34"/>
      <c r="G497" s="34"/>
      <c r="H497" s="34"/>
      <c r="I497" s="3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4"/>
    </row>
    <row r="498" spans="2:122" ht="26.25" x14ac:dyDescent="0.25">
      <c r="B498" s="1"/>
      <c r="C498" s="33"/>
      <c r="D498" s="36" t="s">
        <v>42</v>
      </c>
      <c r="E498" s="36" t="s">
        <v>43</v>
      </c>
      <c r="F498" s="36" t="s">
        <v>44</v>
      </c>
      <c r="G498" s="36" t="s">
        <v>45</v>
      </c>
      <c r="H498" s="36" t="s">
        <v>46</v>
      </c>
      <c r="I498" s="3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4"/>
    </row>
    <row r="499" spans="2:122" x14ac:dyDescent="0.25">
      <c r="B499" s="1"/>
      <c r="C499" s="33"/>
      <c r="D499" s="37"/>
      <c r="E499" s="37"/>
      <c r="F499" s="37"/>
      <c r="G499" s="37"/>
      <c r="H499" s="37"/>
      <c r="I499" s="35"/>
      <c r="J499">
        <f>IF(D499="x",5,0)</f>
        <v>0</v>
      </c>
      <c r="K499">
        <f>IF(E499="x",4,0)</f>
        <v>0</v>
      </c>
      <c r="L499">
        <f>IF(F499="x",3,0)</f>
        <v>0</v>
      </c>
      <c r="M499">
        <f>IF(G499="x",2,0)</f>
        <v>0</v>
      </c>
      <c r="N499">
        <f>IF(H499="x",1,0)</f>
        <v>0</v>
      </c>
      <c r="O499" s="3" t="str">
        <f>IF(Q499="",SUM(J499:N499),"falso")</f>
        <v>falso</v>
      </c>
      <c r="P499">
        <f>COUNTIF(D499:H499,"x")</f>
        <v>0</v>
      </c>
      <c r="Q499" s="38" t="str">
        <f>IF(P499&lt;1,"error",IF(P499&gt;1,"error",""))</f>
        <v>error</v>
      </c>
      <c r="R499" s="38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4"/>
    </row>
    <row r="500" spans="2:122" ht="15.75" thickBot="1" x14ac:dyDescent="0.3">
      <c r="B500" s="1"/>
      <c r="C500" s="39"/>
      <c r="D500" s="40">
        <v>5</v>
      </c>
      <c r="E500" s="40">
        <v>4</v>
      </c>
      <c r="F500" s="40">
        <v>3</v>
      </c>
      <c r="G500" s="40">
        <v>2</v>
      </c>
      <c r="H500" s="40">
        <v>1</v>
      </c>
      <c r="I500" s="41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4"/>
    </row>
    <row r="501" spans="2:122" ht="15.75" thickBot="1" x14ac:dyDescent="0.3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4"/>
    </row>
    <row r="502" spans="2:122" x14ac:dyDescent="0.25">
      <c r="B502" s="1"/>
      <c r="C502" s="31" t="s">
        <v>203</v>
      </c>
      <c r="D502" s="43" t="s">
        <v>204</v>
      </c>
      <c r="E502" s="44"/>
      <c r="F502" s="44"/>
      <c r="G502" s="44"/>
      <c r="H502" s="44"/>
      <c r="I502" s="45"/>
      <c r="J502" s="3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4"/>
    </row>
    <row r="503" spans="2:122" x14ac:dyDescent="0.25">
      <c r="B503" s="1"/>
      <c r="C503" s="33"/>
      <c r="D503" s="34"/>
      <c r="E503" s="34"/>
      <c r="F503" s="34"/>
      <c r="G503" s="34"/>
      <c r="H503" s="34"/>
      <c r="I503" s="3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4"/>
    </row>
    <row r="504" spans="2:122" ht="26.25" x14ac:dyDescent="0.25">
      <c r="B504" s="1"/>
      <c r="C504" s="33"/>
      <c r="D504" s="36" t="s">
        <v>42</v>
      </c>
      <c r="E504" s="36" t="s">
        <v>43</v>
      </c>
      <c r="F504" s="36" t="s">
        <v>44</v>
      </c>
      <c r="G504" s="36" t="s">
        <v>45</v>
      </c>
      <c r="H504" s="36" t="s">
        <v>46</v>
      </c>
      <c r="I504" s="3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4"/>
    </row>
    <row r="505" spans="2:122" x14ac:dyDescent="0.25">
      <c r="B505" s="1"/>
      <c r="C505" s="33"/>
      <c r="D505" s="37"/>
      <c r="E505" s="37"/>
      <c r="F505" s="37"/>
      <c r="G505" s="37"/>
      <c r="H505" s="37"/>
      <c r="I505" s="35"/>
      <c r="J505">
        <f>IF(D505="x",5,0)</f>
        <v>0</v>
      </c>
      <c r="K505">
        <f>IF(E505="x",4,0)</f>
        <v>0</v>
      </c>
      <c r="L505">
        <f>IF(F505="x",3,0)</f>
        <v>0</v>
      </c>
      <c r="M505">
        <f>IF(G505="x",2,0)</f>
        <v>0</v>
      </c>
      <c r="N505">
        <f>IF(H505="x",1,0)</f>
        <v>0</v>
      </c>
      <c r="O505" s="3" t="str">
        <f>IF(Q505="",SUM(J505:N505),"falso")</f>
        <v>falso</v>
      </c>
      <c r="P505">
        <f>COUNTIF(D505:H505,"x")</f>
        <v>0</v>
      </c>
      <c r="Q505" s="38" t="str">
        <f>IF(P505&lt;1,"error",IF(P505&gt;1,"error",""))</f>
        <v>error</v>
      </c>
      <c r="R505" s="38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4"/>
    </row>
    <row r="506" spans="2:122" ht="15.75" thickBot="1" x14ac:dyDescent="0.3">
      <c r="B506" s="1"/>
      <c r="C506" s="39"/>
      <c r="D506" s="40">
        <v>5</v>
      </c>
      <c r="E506" s="40">
        <v>4</v>
      </c>
      <c r="F506" s="40">
        <v>3</v>
      </c>
      <c r="G506" s="40">
        <v>2</v>
      </c>
      <c r="H506" s="40">
        <v>1</v>
      </c>
      <c r="I506" s="41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4"/>
    </row>
    <row r="507" spans="2:122" ht="15.75" thickBot="1" x14ac:dyDescent="0.3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4"/>
    </row>
    <row r="508" spans="2:122" x14ac:dyDescent="0.25">
      <c r="B508" s="1"/>
      <c r="C508" s="31" t="s">
        <v>205</v>
      </c>
      <c r="D508" s="43" t="s">
        <v>206</v>
      </c>
      <c r="E508" s="44"/>
      <c r="F508" s="44"/>
      <c r="G508" s="44"/>
      <c r="H508" s="44"/>
      <c r="I508" s="45"/>
      <c r="J508" s="3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4"/>
    </row>
    <row r="509" spans="2:122" x14ac:dyDescent="0.25">
      <c r="B509" s="1"/>
      <c r="C509" s="33"/>
      <c r="D509" s="34"/>
      <c r="E509" s="34"/>
      <c r="F509" s="34"/>
      <c r="G509" s="34"/>
      <c r="H509" s="34"/>
      <c r="I509" s="3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4"/>
    </row>
    <row r="510" spans="2:122" ht="26.25" x14ac:dyDescent="0.25">
      <c r="B510" s="1"/>
      <c r="C510" s="33"/>
      <c r="D510" s="36" t="s">
        <v>42</v>
      </c>
      <c r="E510" s="36" t="s">
        <v>43</v>
      </c>
      <c r="F510" s="36" t="s">
        <v>44</v>
      </c>
      <c r="G510" s="36" t="s">
        <v>45</v>
      </c>
      <c r="H510" s="36" t="s">
        <v>46</v>
      </c>
      <c r="I510" s="3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4"/>
    </row>
    <row r="511" spans="2:122" x14ac:dyDescent="0.25">
      <c r="B511" s="1"/>
      <c r="C511" s="33"/>
      <c r="D511" s="37"/>
      <c r="E511" s="37"/>
      <c r="F511" s="37"/>
      <c r="G511" s="37"/>
      <c r="H511" s="37"/>
      <c r="I511" s="35"/>
      <c r="J511">
        <f>IF(D511="x",5,0)</f>
        <v>0</v>
      </c>
      <c r="K511">
        <f>IF(E511="x",4,0)</f>
        <v>0</v>
      </c>
      <c r="L511">
        <f>IF(F511="x",3,0)</f>
        <v>0</v>
      </c>
      <c r="M511">
        <f>IF(G511="x",2,0)</f>
        <v>0</v>
      </c>
      <c r="N511">
        <f>IF(H511="x",1,0)</f>
        <v>0</v>
      </c>
      <c r="O511" s="3" t="str">
        <f>IF(Q511="",SUM(J511:N511),"falso")</f>
        <v>falso</v>
      </c>
      <c r="P511">
        <f>COUNTIF(D511:H511,"x")</f>
        <v>0</v>
      </c>
      <c r="Q511" s="38" t="str">
        <f>IF(P511&lt;1,"error",IF(P511&gt;1,"error",""))</f>
        <v>error</v>
      </c>
      <c r="R511" s="38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4"/>
    </row>
    <row r="512" spans="2:122" ht="15.75" thickBot="1" x14ac:dyDescent="0.3">
      <c r="B512" s="1"/>
      <c r="C512" s="39"/>
      <c r="D512" s="40">
        <v>5</v>
      </c>
      <c r="E512" s="40">
        <v>4</v>
      </c>
      <c r="F512" s="40">
        <v>3</v>
      </c>
      <c r="G512" s="40">
        <v>2</v>
      </c>
      <c r="H512" s="40">
        <v>1</v>
      </c>
      <c r="I512" s="41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4"/>
    </row>
    <row r="513" spans="2:122" ht="15.75" thickBot="1" x14ac:dyDescent="0.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4"/>
    </row>
    <row r="514" spans="2:122" x14ac:dyDescent="0.25">
      <c r="B514" s="1"/>
      <c r="C514" s="31" t="s">
        <v>207</v>
      </c>
      <c r="D514" s="43" t="s">
        <v>208</v>
      </c>
      <c r="E514" s="44"/>
      <c r="F514" s="44"/>
      <c r="G514" s="44"/>
      <c r="H514" s="44"/>
      <c r="I514" s="45"/>
      <c r="J514" s="3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4"/>
    </row>
    <row r="515" spans="2:122" x14ac:dyDescent="0.25">
      <c r="B515" s="1"/>
      <c r="C515" s="33"/>
      <c r="D515" s="34"/>
      <c r="E515" s="34"/>
      <c r="F515" s="34"/>
      <c r="G515" s="34"/>
      <c r="H515" s="34"/>
      <c r="I515" s="3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4"/>
    </row>
    <row r="516" spans="2:122" ht="26.25" x14ac:dyDescent="0.25">
      <c r="B516" s="1"/>
      <c r="C516" s="33"/>
      <c r="D516" s="36" t="s">
        <v>42</v>
      </c>
      <c r="E516" s="36" t="s">
        <v>43</v>
      </c>
      <c r="F516" s="36" t="s">
        <v>44</v>
      </c>
      <c r="G516" s="36" t="s">
        <v>45</v>
      </c>
      <c r="H516" s="36" t="s">
        <v>46</v>
      </c>
      <c r="I516" s="3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4"/>
    </row>
    <row r="517" spans="2:122" x14ac:dyDescent="0.25">
      <c r="B517" s="1"/>
      <c r="C517" s="33"/>
      <c r="D517" s="37"/>
      <c r="E517" s="37"/>
      <c r="F517" s="37"/>
      <c r="G517" s="37"/>
      <c r="H517" s="37"/>
      <c r="I517" s="35"/>
      <c r="J517">
        <f>IF(D517="x",5,0)</f>
        <v>0</v>
      </c>
      <c r="K517">
        <f>IF(E517="x",4,0)</f>
        <v>0</v>
      </c>
      <c r="L517">
        <f>IF(F517="x",3,0)</f>
        <v>0</v>
      </c>
      <c r="M517">
        <f>IF(G517="x",2,0)</f>
        <v>0</v>
      </c>
      <c r="N517">
        <f>IF(H517="x",1,0)</f>
        <v>0</v>
      </c>
      <c r="O517" s="3" t="str">
        <f>IF(Q517="",SUM(J517:N517),"falso")</f>
        <v>falso</v>
      </c>
      <c r="P517">
        <f>COUNTIF(D517:H517,"x")</f>
        <v>0</v>
      </c>
      <c r="Q517" s="38" t="str">
        <f>IF(P517&lt;1,"error",IF(P517&gt;1,"error",""))</f>
        <v>error</v>
      </c>
      <c r="R517" s="38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4"/>
    </row>
    <row r="518" spans="2:122" ht="15.75" thickBot="1" x14ac:dyDescent="0.3">
      <c r="B518" s="1"/>
      <c r="C518" s="39"/>
      <c r="D518" s="40">
        <v>5</v>
      </c>
      <c r="E518" s="40">
        <v>4</v>
      </c>
      <c r="F518" s="40">
        <v>3</v>
      </c>
      <c r="G518" s="40">
        <v>2</v>
      </c>
      <c r="H518" s="40">
        <v>1</v>
      </c>
      <c r="I518" s="41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4"/>
    </row>
    <row r="519" spans="2:122" ht="15.75" thickBot="1" x14ac:dyDescent="0.3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4"/>
    </row>
    <row r="520" spans="2:122" x14ac:dyDescent="0.25">
      <c r="B520" s="1"/>
      <c r="C520" s="31" t="s">
        <v>209</v>
      </c>
      <c r="D520" s="43" t="s">
        <v>210</v>
      </c>
      <c r="E520" s="44"/>
      <c r="F520" s="44"/>
      <c r="G520" s="44"/>
      <c r="H520" s="44"/>
      <c r="I520" s="45"/>
      <c r="J520" s="3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4"/>
    </row>
    <row r="521" spans="2:122" x14ac:dyDescent="0.25">
      <c r="B521" s="1"/>
      <c r="C521" s="33"/>
      <c r="D521" s="34"/>
      <c r="E521" s="34"/>
      <c r="F521" s="34"/>
      <c r="G521" s="34"/>
      <c r="H521" s="34"/>
      <c r="I521" s="3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4"/>
    </row>
    <row r="522" spans="2:122" ht="26.25" x14ac:dyDescent="0.25">
      <c r="B522" s="1"/>
      <c r="C522" s="33"/>
      <c r="D522" s="36" t="s">
        <v>42</v>
      </c>
      <c r="E522" s="36" t="s">
        <v>43</v>
      </c>
      <c r="F522" s="36" t="s">
        <v>44</v>
      </c>
      <c r="G522" s="36" t="s">
        <v>45</v>
      </c>
      <c r="H522" s="36" t="s">
        <v>46</v>
      </c>
      <c r="I522" s="3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4"/>
    </row>
    <row r="523" spans="2:122" x14ac:dyDescent="0.25">
      <c r="B523" s="1"/>
      <c r="C523" s="33"/>
      <c r="D523" s="37"/>
      <c r="E523" s="37"/>
      <c r="F523" s="37"/>
      <c r="G523" s="37"/>
      <c r="H523" s="37"/>
      <c r="I523" s="35"/>
      <c r="J523">
        <f>IF(D523="x",5,0)</f>
        <v>0</v>
      </c>
      <c r="K523">
        <f>IF(E523="x",4,0)</f>
        <v>0</v>
      </c>
      <c r="L523">
        <f>IF(F523="x",3,0)</f>
        <v>0</v>
      </c>
      <c r="M523">
        <f>IF(G523="x",2,0)</f>
        <v>0</v>
      </c>
      <c r="N523">
        <f>IF(H523="x",1,0)</f>
        <v>0</v>
      </c>
      <c r="O523" s="3" t="str">
        <f>IF(Q523="",SUM(J523:N523),"falso")</f>
        <v>falso</v>
      </c>
      <c r="P523">
        <f>COUNTIF(D523:H523,"x")</f>
        <v>0</v>
      </c>
      <c r="Q523" s="38" t="str">
        <f>IF(P523&lt;1,"error",IF(P523&gt;1,"error",""))</f>
        <v>error</v>
      </c>
      <c r="R523" s="38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4"/>
    </row>
    <row r="524" spans="2:122" ht="15.75" thickBot="1" x14ac:dyDescent="0.3">
      <c r="B524" s="1"/>
      <c r="C524" s="39"/>
      <c r="D524" s="40">
        <v>5</v>
      </c>
      <c r="E524" s="40">
        <v>4</v>
      </c>
      <c r="F524" s="40">
        <v>3</v>
      </c>
      <c r="G524" s="40">
        <v>2</v>
      </c>
      <c r="H524" s="40">
        <v>1</v>
      </c>
      <c r="I524" s="41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4"/>
    </row>
    <row r="525" spans="2:122" ht="15.75" thickBot="1" x14ac:dyDescent="0.3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4"/>
    </row>
    <row r="526" spans="2:122" x14ac:dyDescent="0.25">
      <c r="B526" s="1"/>
      <c r="C526" s="31" t="s">
        <v>211</v>
      </c>
      <c r="D526" s="43" t="s">
        <v>212</v>
      </c>
      <c r="E526" s="44"/>
      <c r="F526" s="44"/>
      <c r="G526" s="44"/>
      <c r="H526" s="44"/>
      <c r="I526" s="45"/>
      <c r="J526" s="3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4"/>
    </row>
    <row r="527" spans="2:122" x14ac:dyDescent="0.25">
      <c r="B527" s="1"/>
      <c r="C527" s="33"/>
      <c r="D527" s="34"/>
      <c r="E527" s="34"/>
      <c r="F527" s="34"/>
      <c r="G527" s="34"/>
      <c r="H527" s="34"/>
      <c r="I527" s="3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4"/>
    </row>
    <row r="528" spans="2:122" ht="26.25" x14ac:dyDescent="0.25">
      <c r="B528" s="1"/>
      <c r="C528" s="33"/>
      <c r="D528" s="36" t="s">
        <v>42</v>
      </c>
      <c r="E528" s="36" t="s">
        <v>43</v>
      </c>
      <c r="F528" s="36" t="s">
        <v>44</v>
      </c>
      <c r="G528" s="36" t="s">
        <v>45</v>
      </c>
      <c r="H528" s="36" t="s">
        <v>46</v>
      </c>
      <c r="I528" s="3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4"/>
    </row>
    <row r="529" spans="2:122" x14ac:dyDescent="0.25">
      <c r="B529" s="1"/>
      <c r="C529" s="33"/>
      <c r="D529" s="37"/>
      <c r="E529" s="37"/>
      <c r="F529" s="37"/>
      <c r="G529" s="37"/>
      <c r="H529" s="37"/>
      <c r="I529" s="35"/>
      <c r="J529">
        <f>IF(D529="x",5,0)</f>
        <v>0</v>
      </c>
      <c r="K529">
        <f>IF(E529="x",4,0)</f>
        <v>0</v>
      </c>
      <c r="L529">
        <f>IF(F529="x",3,0)</f>
        <v>0</v>
      </c>
      <c r="M529">
        <f>IF(G529="x",2,0)</f>
        <v>0</v>
      </c>
      <c r="N529">
        <f>IF(H529="x",1,0)</f>
        <v>0</v>
      </c>
      <c r="O529" s="3" t="str">
        <f>IF(Q529="",SUM(J529:N529),"falso")</f>
        <v>falso</v>
      </c>
      <c r="P529">
        <f>COUNTIF(D529:H529,"x")</f>
        <v>0</v>
      </c>
      <c r="Q529" s="38" t="str">
        <f>IF(P529&lt;1,"error",IF(P529&gt;1,"error",""))</f>
        <v>error</v>
      </c>
      <c r="R529" s="38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4"/>
    </row>
    <row r="530" spans="2:122" ht="15.75" thickBot="1" x14ac:dyDescent="0.3">
      <c r="B530" s="1"/>
      <c r="C530" s="39"/>
      <c r="D530" s="40">
        <v>5</v>
      </c>
      <c r="E530" s="40">
        <v>4</v>
      </c>
      <c r="F530" s="40">
        <v>3</v>
      </c>
      <c r="G530" s="40">
        <v>2</v>
      </c>
      <c r="H530" s="40">
        <v>1</v>
      </c>
      <c r="I530" s="41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4"/>
    </row>
    <row r="531" spans="2:122" ht="15.75" thickBot="1" x14ac:dyDescent="0.3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4"/>
    </row>
    <row r="532" spans="2:122" x14ac:dyDescent="0.25">
      <c r="B532" s="1"/>
      <c r="C532" s="31" t="s">
        <v>213</v>
      </c>
      <c r="D532" s="43" t="s">
        <v>214</v>
      </c>
      <c r="E532" s="44"/>
      <c r="F532" s="44"/>
      <c r="G532" s="44"/>
      <c r="H532" s="44"/>
      <c r="I532" s="45"/>
      <c r="J532" s="3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4"/>
    </row>
    <row r="533" spans="2:122" x14ac:dyDescent="0.25">
      <c r="B533" s="1"/>
      <c r="C533" s="33"/>
      <c r="D533" s="34"/>
      <c r="E533" s="34"/>
      <c r="F533" s="34"/>
      <c r="G533" s="34"/>
      <c r="H533" s="34"/>
      <c r="I533" s="3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4"/>
    </row>
    <row r="534" spans="2:122" ht="26.25" x14ac:dyDescent="0.25">
      <c r="B534" s="1"/>
      <c r="C534" s="33"/>
      <c r="D534" s="36" t="s">
        <v>42</v>
      </c>
      <c r="E534" s="36" t="s">
        <v>43</v>
      </c>
      <c r="F534" s="36" t="s">
        <v>44</v>
      </c>
      <c r="G534" s="36" t="s">
        <v>45</v>
      </c>
      <c r="H534" s="36" t="s">
        <v>46</v>
      </c>
      <c r="I534" s="3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4"/>
    </row>
    <row r="535" spans="2:122" x14ac:dyDescent="0.25">
      <c r="B535" s="1"/>
      <c r="C535" s="33"/>
      <c r="D535" s="37"/>
      <c r="E535" s="37"/>
      <c r="F535" s="37"/>
      <c r="G535" s="37"/>
      <c r="H535" s="37"/>
      <c r="I535" s="35"/>
      <c r="J535">
        <f>IF(D535="x",5,0)</f>
        <v>0</v>
      </c>
      <c r="K535">
        <f>IF(E535="x",4,0)</f>
        <v>0</v>
      </c>
      <c r="L535">
        <f>IF(F535="x",3,0)</f>
        <v>0</v>
      </c>
      <c r="M535">
        <f>IF(G535="x",2,0)</f>
        <v>0</v>
      </c>
      <c r="N535">
        <f>IF(H535="x",1,0)</f>
        <v>0</v>
      </c>
      <c r="O535" s="3" t="str">
        <f>IF(Q535="",SUM(J535:N535),"falso")</f>
        <v>falso</v>
      </c>
      <c r="P535">
        <f>COUNTIF(D535:H535,"x")</f>
        <v>0</v>
      </c>
      <c r="Q535" s="38" t="str">
        <f>IF(P535&lt;1,"error",IF(P535&gt;1,"error",""))</f>
        <v>error</v>
      </c>
      <c r="R535" s="38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4"/>
    </row>
    <row r="536" spans="2:122" ht="15.75" thickBot="1" x14ac:dyDescent="0.3">
      <c r="B536" s="1"/>
      <c r="C536" s="39"/>
      <c r="D536" s="40">
        <v>5</v>
      </c>
      <c r="E536" s="40">
        <v>4</v>
      </c>
      <c r="F536" s="40">
        <v>3</v>
      </c>
      <c r="G536" s="40">
        <v>2</v>
      </c>
      <c r="H536" s="40">
        <v>1</v>
      </c>
      <c r="I536" s="41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4"/>
    </row>
    <row r="537" spans="2:122" ht="15.75" thickBot="1" x14ac:dyDescent="0.3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4"/>
    </row>
    <row r="538" spans="2:122" x14ac:dyDescent="0.25">
      <c r="B538" s="1"/>
      <c r="C538" s="31" t="s">
        <v>215</v>
      </c>
      <c r="D538" s="43" t="s">
        <v>216</v>
      </c>
      <c r="E538" s="44"/>
      <c r="F538" s="44"/>
      <c r="G538" s="44"/>
      <c r="H538" s="44"/>
      <c r="I538" s="45"/>
      <c r="J538" s="3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4"/>
    </row>
    <row r="539" spans="2:122" x14ac:dyDescent="0.25">
      <c r="B539" s="1"/>
      <c r="C539" s="33"/>
      <c r="D539" s="34"/>
      <c r="E539" s="34"/>
      <c r="F539" s="34"/>
      <c r="G539" s="34"/>
      <c r="H539" s="34"/>
      <c r="I539" s="3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4"/>
    </row>
    <row r="540" spans="2:122" ht="26.25" x14ac:dyDescent="0.25">
      <c r="B540" s="1"/>
      <c r="C540" s="33"/>
      <c r="D540" s="36" t="s">
        <v>42</v>
      </c>
      <c r="E540" s="36" t="s">
        <v>43</v>
      </c>
      <c r="F540" s="36" t="s">
        <v>44</v>
      </c>
      <c r="G540" s="36" t="s">
        <v>45</v>
      </c>
      <c r="H540" s="36" t="s">
        <v>46</v>
      </c>
      <c r="I540" s="3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4"/>
    </row>
    <row r="541" spans="2:122" x14ac:dyDescent="0.25">
      <c r="B541" s="1"/>
      <c r="C541" s="33"/>
      <c r="D541" s="37"/>
      <c r="E541" s="37"/>
      <c r="F541" s="37"/>
      <c r="G541" s="37"/>
      <c r="H541" s="37"/>
      <c r="I541" s="35"/>
      <c r="J541">
        <f>IF(D541="x",5,0)</f>
        <v>0</v>
      </c>
      <c r="K541">
        <f>IF(E541="x",4,0)</f>
        <v>0</v>
      </c>
      <c r="L541">
        <f>IF(F541="x",3,0)</f>
        <v>0</v>
      </c>
      <c r="M541">
        <f>IF(G541="x",2,0)</f>
        <v>0</v>
      </c>
      <c r="N541">
        <f>IF(H541="x",1,0)</f>
        <v>0</v>
      </c>
      <c r="O541" s="3" t="str">
        <f>IF(Q541="",SUM(J541:N541),"falso")</f>
        <v>falso</v>
      </c>
      <c r="P541">
        <f>COUNTIF(D541:H541,"x")</f>
        <v>0</v>
      </c>
      <c r="Q541" s="38" t="str">
        <f>IF(P541&lt;1,"error",IF(P541&gt;1,"error",""))</f>
        <v>error</v>
      </c>
      <c r="R541" s="38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4"/>
    </row>
    <row r="542" spans="2:122" ht="15.75" thickBot="1" x14ac:dyDescent="0.3">
      <c r="B542" s="1"/>
      <c r="C542" s="39"/>
      <c r="D542" s="40">
        <v>5</v>
      </c>
      <c r="E542" s="40">
        <v>4</v>
      </c>
      <c r="F542" s="40">
        <v>3</v>
      </c>
      <c r="G542" s="40">
        <v>2</v>
      </c>
      <c r="H542" s="40">
        <v>1</v>
      </c>
      <c r="I542" s="41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4"/>
    </row>
    <row r="543" spans="2:122" ht="15.75" thickBot="1" x14ac:dyDescent="0.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4"/>
    </row>
    <row r="544" spans="2:122" x14ac:dyDescent="0.25">
      <c r="B544" s="1"/>
      <c r="C544" s="31" t="s">
        <v>217</v>
      </c>
      <c r="D544" s="43" t="s">
        <v>218</v>
      </c>
      <c r="E544" s="44"/>
      <c r="F544" s="44"/>
      <c r="G544" s="44"/>
      <c r="H544" s="44"/>
      <c r="I544" s="45"/>
      <c r="J544" s="3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4"/>
    </row>
    <row r="545" spans="2:122" x14ac:dyDescent="0.25">
      <c r="B545" s="1"/>
      <c r="C545" s="33"/>
      <c r="D545" s="34"/>
      <c r="E545" s="34"/>
      <c r="F545" s="34"/>
      <c r="G545" s="34"/>
      <c r="H545" s="34"/>
      <c r="I545" s="3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4"/>
    </row>
    <row r="546" spans="2:122" ht="26.25" x14ac:dyDescent="0.25">
      <c r="B546" s="1"/>
      <c r="C546" s="33"/>
      <c r="D546" s="36" t="s">
        <v>42</v>
      </c>
      <c r="E546" s="36" t="s">
        <v>43</v>
      </c>
      <c r="F546" s="36" t="s">
        <v>44</v>
      </c>
      <c r="G546" s="36" t="s">
        <v>45</v>
      </c>
      <c r="H546" s="36" t="s">
        <v>46</v>
      </c>
      <c r="I546" s="3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4"/>
    </row>
    <row r="547" spans="2:122" x14ac:dyDescent="0.25">
      <c r="B547" s="1"/>
      <c r="C547" s="33"/>
      <c r="D547" s="37"/>
      <c r="E547" s="37"/>
      <c r="F547" s="37"/>
      <c r="G547" s="37"/>
      <c r="H547" s="37"/>
      <c r="I547" s="35"/>
      <c r="J547">
        <f>IF(D547="x",5,0)</f>
        <v>0</v>
      </c>
      <c r="K547">
        <f>IF(E547="x",4,0)</f>
        <v>0</v>
      </c>
      <c r="L547">
        <f>IF(F547="x",3,0)</f>
        <v>0</v>
      </c>
      <c r="M547">
        <f>IF(G547="x",2,0)</f>
        <v>0</v>
      </c>
      <c r="N547">
        <f>IF(H547="x",1,0)</f>
        <v>0</v>
      </c>
      <c r="O547" s="3" t="str">
        <f>IF(Q547="",SUM(J547:N547),"falso")</f>
        <v>falso</v>
      </c>
      <c r="P547">
        <f>COUNTIF(D547:H547,"x")</f>
        <v>0</v>
      </c>
      <c r="Q547" s="38" t="str">
        <f>IF(P547&lt;1,"error",IF(P547&gt;1,"error",""))</f>
        <v>error</v>
      </c>
      <c r="R547" s="38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4"/>
    </row>
    <row r="548" spans="2:122" ht="15.75" thickBot="1" x14ac:dyDescent="0.3">
      <c r="B548" s="1"/>
      <c r="C548" s="39"/>
      <c r="D548" s="40">
        <v>5</v>
      </c>
      <c r="E548" s="40">
        <v>4</v>
      </c>
      <c r="F548" s="40">
        <v>3</v>
      </c>
      <c r="G548" s="40">
        <v>2</v>
      </c>
      <c r="H548" s="40">
        <v>1</v>
      </c>
      <c r="I548" s="41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4"/>
    </row>
    <row r="549" spans="2:122" ht="15.75" thickBot="1" x14ac:dyDescent="0.3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4"/>
    </row>
    <row r="550" spans="2:122" x14ac:dyDescent="0.25">
      <c r="B550" s="1"/>
      <c r="C550" s="31" t="s">
        <v>219</v>
      </c>
      <c r="D550" s="43" t="s">
        <v>220</v>
      </c>
      <c r="E550" s="44"/>
      <c r="F550" s="44"/>
      <c r="G550" s="44"/>
      <c r="H550" s="44"/>
      <c r="I550" s="45"/>
      <c r="J550" s="3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4"/>
    </row>
    <row r="551" spans="2:122" x14ac:dyDescent="0.25">
      <c r="B551" s="1"/>
      <c r="C551" s="33"/>
      <c r="D551" s="34"/>
      <c r="E551" s="34"/>
      <c r="F551" s="34"/>
      <c r="G551" s="34"/>
      <c r="H551" s="34"/>
      <c r="I551" s="3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4"/>
    </row>
    <row r="552" spans="2:122" ht="26.25" x14ac:dyDescent="0.25">
      <c r="B552" s="1"/>
      <c r="C552" s="33"/>
      <c r="D552" s="36" t="s">
        <v>42</v>
      </c>
      <c r="E552" s="36" t="s">
        <v>43</v>
      </c>
      <c r="F552" s="36" t="s">
        <v>44</v>
      </c>
      <c r="G552" s="36" t="s">
        <v>45</v>
      </c>
      <c r="H552" s="36" t="s">
        <v>46</v>
      </c>
      <c r="I552" s="3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4"/>
    </row>
    <row r="553" spans="2:122" x14ac:dyDescent="0.25">
      <c r="B553" s="1"/>
      <c r="C553" s="33"/>
      <c r="D553" s="37"/>
      <c r="E553" s="37"/>
      <c r="F553" s="37"/>
      <c r="G553" s="37"/>
      <c r="H553" s="37"/>
      <c r="I553" s="35"/>
      <c r="J553">
        <f>IF(D553="x",5,0)</f>
        <v>0</v>
      </c>
      <c r="K553">
        <f>IF(E553="x",4,0)</f>
        <v>0</v>
      </c>
      <c r="L553">
        <f>IF(F553="x",3,0)</f>
        <v>0</v>
      </c>
      <c r="M553">
        <f>IF(G553="x",2,0)</f>
        <v>0</v>
      </c>
      <c r="N553">
        <f>IF(H553="x",1,0)</f>
        <v>0</v>
      </c>
      <c r="O553" s="3" t="str">
        <f>IF(Q553="",SUM(J553:N553),"falso")</f>
        <v>falso</v>
      </c>
      <c r="P553">
        <f>COUNTIF(D553:H553,"x")</f>
        <v>0</v>
      </c>
      <c r="Q553" s="38" t="str">
        <f>IF(P553&lt;1,"error",IF(P553&gt;1,"error",""))</f>
        <v>error</v>
      </c>
      <c r="R553" s="38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4"/>
    </row>
    <row r="554" spans="2:122" ht="15.75" thickBot="1" x14ac:dyDescent="0.3">
      <c r="B554" s="1"/>
      <c r="C554" s="39"/>
      <c r="D554" s="40">
        <v>5</v>
      </c>
      <c r="E554" s="40">
        <v>4</v>
      </c>
      <c r="F554" s="40">
        <v>3</v>
      </c>
      <c r="G554" s="40">
        <v>2</v>
      </c>
      <c r="H554" s="40">
        <v>1</v>
      </c>
      <c r="I554" s="41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4"/>
    </row>
    <row r="555" spans="2:122" ht="15.75" thickBot="1" x14ac:dyDescent="0.3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4"/>
    </row>
    <row r="556" spans="2:122" x14ac:dyDescent="0.25">
      <c r="B556" s="1"/>
      <c r="C556" s="31" t="s">
        <v>221</v>
      </c>
      <c r="D556" s="43" t="s">
        <v>222</v>
      </c>
      <c r="E556" s="44"/>
      <c r="F556" s="44"/>
      <c r="G556" s="44"/>
      <c r="H556" s="44"/>
      <c r="I556" s="45"/>
      <c r="J556" s="3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4"/>
    </row>
    <row r="557" spans="2:122" x14ac:dyDescent="0.25">
      <c r="B557" s="1"/>
      <c r="C557" s="33"/>
      <c r="D557" s="34"/>
      <c r="E557" s="34"/>
      <c r="F557" s="34"/>
      <c r="G557" s="34"/>
      <c r="H557" s="34"/>
      <c r="I557" s="3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4"/>
    </row>
    <row r="558" spans="2:122" ht="26.25" x14ac:dyDescent="0.25">
      <c r="B558" s="1"/>
      <c r="C558" s="33"/>
      <c r="D558" s="36" t="s">
        <v>42</v>
      </c>
      <c r="E558" s="36" t="s">
        <v>43</v>
      </c>
      <c r="F558" s="36" t="s">
        <v>44</v>
      </c>
      <c r="G558" s="36" t="s">
        <v>45</v>
      </c>
      <c r="H558" s="36" t="s">
        <v>46</v>
      </c>
      <c r="I558" s="3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4"/>
    </row>
    <row r="559" spans="2:122" x14ac:dyDescent="0.25">
      <c r="B559" s="1"/>
      <c r="C559" s="33"/>
      <c r="D559" s="37"/>
      <c r="E559" s="37"/>
      <c r="F559" s="37"/>
      <c r="G559" s="37"/>
      <c r="H559" s="37"/>
      <c r="I559" s="35"/>
      <c r="J559">
        <f>IF(D559="x",5,0)</f>
        <v>0</v>
      </c>
      <c r="K559">
        <f>IF(E559="x",4,0)</f>
        <v>0</v>
      </c>
      <c r="L559">
        <f>IF(F559="x",3,0)</f>
        <v>0</v>
      </c>
      <c r="M559">
        <f>IF(G559="x",2,0)</f>
        <v>0</v>
      </c>
      <c r="N559">
        <f>IF(H559="x",1,0)</f>
        <v>0</v>
      </c>
      <c r="O559" s="3" t="str">
        <f>IF(Q559="",SUM(J559:N559),"falso")</f>
        <v>falso</v>
      </c>
      <c r="P559">
        <f>COUNTIF(D559:H559,"x")</f>
        <v>0</v>
      </c>
      <c r="Q559" s="38" t="str">
        <f>IF(P559&lt;1,"error",IF(P559&gt;1,"error",""))</f>
        <v>error</v>
      </c>
      <c r="R559" s="38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4"/>
    </row>
    <row r="560" spans="2:122" ht="15.75" thickBot="1" x14ac:dyDescent="0.3">
      <c r="B560" s="1"/>
      <c r="C560" s="39"/>
      <c r="D560" s="40">
        <v>5</v>
      </c>
      <c r="E560" s="40">
        <v>4</v>
      </c>
      <c r="F560" s="40">
        <v>3</v>
      </c>
      <c r="G560" s="40">
        <v>2</v>
      </c>
      <c r="H560" s="40">
        <v>1</v>
      </c>
      <c r="I560" s="41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4"/>
    </row>
    <row r="561" spans="2:122" ht="15.75" thickBot="1" x14ac:dyDescent="0.3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4"/>
    </row>
    <row r="562" spans="2:122" x14ac:dyDescent="0.25">
      <c r="B562" s="1"/>
      <c r="C562" s="31" t="s">
        <v>223</v>
      </c>
      <c r="D562" s="43" t="s">
        <v>224</v>
      </c>
      <c r="E562" s="44"/>
      <c r="F562" s="44"/>
      <c r="G562" s="44"/>
      <c r="H562" s="44"/>
      <c r="I562" s="45"/>
      <c r="J562" s="3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4"/>
    </row>
    <row r="563" spans="2:122" x14ac:dyDescent="0.25">
      <c r="B563" s="1"/>
      <c r="C563" s="33"/>
      <c r="D563" s="34"/>
      <c r="E563" s="34"/>
      <c r="F563" s="34"/>
      <c r="G563" s="34"/>
      <c r="H563" s="34"/>
      <c r="I563" s="3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4"/>
    </row>
    <row r="564" spans="2:122" ht="26.25" x14ac:dyDescent="0.25">
      <c r="B564" s="1"/>
      <c r="C564" s="33"/>
      <c r="D564" s="36" t="s">
        <v>42</v>
      </c>
      <c r="E564" s="36" t="s">
        <v>43</v>
      </c>
      <c r="F564" s="36" t="s">
        <v>44</v>
      </c>
      <c r="G564" s="36" t="s">
        <v>45</v>
      </c>
      <c r="H564" s="36" t="s">
        <v>46</v>
      </c>
      <c r="I564" s="3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4"/>
    </row>
    <row r="565" spans="2:122" x14ac:dyDescent="0.25">
      <c r="B565" s="1"/>
      <c r="C565" s="33"/>
      <c r="D565" s="37"/>
      <c r="E565" s="37"/>
      <c r="F565" s="37"/>
      <c r="G565" s="37"/>
      <c r="H565" s="37"/>
      <c r="I565" s="35"/>
      <c r="J565">
        <f>IF(D565="x",5,0)</f>
        <v>0</v>
      </c>
      <c r="K565">
        <f>IF(E565="x",4,0)</f>
        <v>0</v>
      </c>
      <c r="L565">
        <f>IF(F565="x",3,0)</f>
        <v>0</v>
      </c>
      <c r="M565">
        <f>IF(G565="x",2,0)</f>
        <v>0</v>
      </c>
      <c r="N565">
        <f>IF(H565="x",1,0)</f>
        <v>0</v>
      </c>
      <c r="O565" s="3" t="str">
        <f>IF(Q565="",SUM(J565:N565),"falso")</f>
        <v>falso</v>
      </c>
      <c r="P565">
        <f>COUNTIF(D565:H565,"x")</f>
        <v>0</v>
      </c>
      <c r="Q565" s="38" t="str">
        <f>IF(P565&lt;1,"error",IF(P565&gt;1,"error",""))</f>
        <v>error</v>
      </c>
      <c r="R565" s="38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4"/>
    </row>
    <row r="566" spans="2:122" ht="15.75" thickBot="1" x14ac:dyDescent="0.3">
      <c r="B566" s="1"/>
      <c r="C566" s="39"/>
      <c r="D566" s="40">
        <v>5</v>
      </c>
      <c r="E566" s="40">
        <v>4</v>
      </c>
      <c r="F566" s="40">
        <v>3</v>
      </c>
      <c r="G566" s="40">
        <v>2</v>
      </c>
      <c r="H566" s="40">
        <v>1</v>
      </c>
      <c r="I566" s="41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4"/>
    </row>
    <row r="567" spans="2:122" ht="15.75" thickBot="1" x14ac:dyDescent="0.3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4"/>
    </row>
    <row r="568" spans="2:122" x14ac:dyDescent="0.25">
      <c r="B568" s="1"/>
      <c r="C568" s="31" t="s">
        <v>225</v>
      </c>
      <c r="D568" s="43" t="s">
        <v>226</v>
      </c>
      <c r="E568" s="44"/>
      <c r="F568" s="44"/>
      <c r="G568" s="44"/>
      <c r="H568" s="44"/>
      <c r="I568" s="45"/>
      <c r="J568" s="3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4"/>
    </row>
    <row r="569" spans="2:122" x14ac:dyDescent="0.25">
      <c r="B569" s="1"/>
      <c r="C569" s="33"/>
      <c r="D569" s="34"/>
      <c r="E569" s="34"/>
      <c r="F569" s="34"/>
      <c r="G569" s="34"/>
      <c r="H569" s="34"/>
      <c r="I569" s="3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4"/>
    </row>
    <row r="570" spans="2:122" ht="26.25" x14ac:dyDescent="0.25">
      <c r="B570" s="1"/>
      <c r="C570" s="33"/>
      <c r="D570" s="36" t="s">
        <v>42</v>
      </c>
      <c r="E570" s="36" t="s">
        <v>43</v>
      </c>
      <c r="F570" s="36" t="s">
        <v>44</v>
      </c>
      <c r="G570" s="36" t="s">
        <v>45</v>
      </c>
      <c r="H570" s="36" t="s">
        <v>46</v>
      </c>
      <c r="I570" s="3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4"/>
    </row>
    <row r="571" spans="2:122" x14ac:dyDescent="0.25">
      <c r="B571" s="1"/>
      <c r="C571" s="33"/>
      <c r="D571" s="37"/>
      <c r="E571" s="37"/>
      <c r="F571" s="37"/>
      <c r="G571" s="37"/>
      <c r="H571" s="37"/>
      <c r="I571" s="35"/>
      <c r="J571">
        <f>IF(D571="x",5,0)</f>
        <v>0</v>
      </c>
      <c r="K571">
        <f>IF(E571="x",4,0)</f>
        <v>0</v>
      </c>
      <c r="L571">
        <f>IF(F571="x",3,0)</f>
        <v>0</v>
      </c>
      <c r="M571">
        <f>IF(G571="x",2,0)</f>
        <v>0</v>
      </c>
      <c r="N571">
        <f>IF(H571="x",1,0)</f>
        <v>0</v>
      </c>
      <c r="O571" s="3" t="str">
        <f>IF(Q571="",SUM(J571:N571),"falso")</f>
        <v>falso</v>
      </c>
      <c r="P571">
        <f>COUNTIF(D571:H571,"x")</f>
        <v>0</v>
      </c>
      <c r="Q571" s="38" t="str">
        <f>IF(P571&lt;1,"error",IF(P571&gt;1,"error",""))</f>
        <v>error</v>
      </c>
      <c r="R571" s="38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4"/>
    </row>
    <row r="572" spans="2:122" ht="15.75" thickBot="1" x14ac:dyDescent="0.3">
      <c r="B572" s="1"/>
      <c r="C572" s="39"/>
      <c r="D572" s="40">
        <v>5</v>
      </c>
      <c r="E572" s="40">
        <v>4</v>
      </c>
      <c r="F572" s="40">
        <v>3</v>
      </c>
      <c r="G572" s="40">
        <v>2</v>
      </c>
      <c r="H572" s="40">
        <v>1</v>
      </c>
      <c r="I572" s="41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4"/>
    </row>
    <row r="573" spans="2:122" ht="15.75" thickBot="1" x14ac:dyDescent="0.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4"/>
    </row>
    <row r="574" spans="2:122" x14ac:dyDescent="0.25">
      <c r="B574" s="1"/>
      <c r="C574" s="31" t="s">
        <v>227</v>
      </c>
      <c r="D574" s="43" t="s">
        <v>228</v>
      </c>
      <c r="E574" s="44"/>
      <c r="F574" s="44"/>
      <c r="G574" s="44"/>
      <c r="H574" s="44"/>
      <c r="I574" s="45"/>
      <c r="J574" s="3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4"/>
    </row>
    <row r="575" spans="2:122" x14ac:dyDescent="0.25">
      <c r="B575" s="1"/>
      <c r="C575" s="33"/>
      <c r="D575" s="34"/>
      <c r="E575" s="34"/>
      <c r="F575" s="34"/>
      <c r="G575" s="34"/>
      <c r="H575" s="34"/>
      <c r="I575" s="3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4"/>
    </row>
    <row r="576" spans="2:122" ht="26.25" x14ac:dyDescent="0.25">
      <c r="B576" s="1"/>
      <c r="C576" s="33"/>
      <c r="D576" s="36" t="s">
        <v>42</v>
      </c>
      <c r="E576" s="36" t="s">
        <v>43</v>
      </c>
      <c r="F576" s="36" t="s">
        <v>44</v>
      </c>
      <c r="G576" s="36" t="s">
        <v>45</v>
      </c>
      <c r="H576" s="36" t="s">
        <v>46</v>
      </c>
      <c r="I576" s="3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4"/>
    </row>
    <row r="577" spans="2:122" x14ac:dyDescent="0.25">
      <c r="B577" s="1"/>
      <c r="C577" s="33"/>
      <c r="D577" s="37"/>
      <c r="E577" s="37"/>
      <c r="F577" s="37"/>
      <c r="G577" s="37"/>
      <c r="H577" s="37"/>
      <c r="I577" s="35"/>
      <c r="J577">
        <f>IF(D577="x",5,0)</f>
        <v>0</v>
      </c>
      <c r="K577">
        <f>IF(E577="x",4,0)</f>
        <v>0</v>
      </c>
      <c r="L577">
        <f>IF(F577="x",3,0)</f>
        <v>0</v>
      </c>
      <c r="M577">
        <f>IF(G577="x",2,0)</f>
        <v>0</v>
      </c>
      <c r="N577">
        <f>IF(H577="x",1,0)</f>
        <v>0</v>
      </c>
      <c r="O577" s="3" t="str">
        <f>IF(Q577="",SUM(J577:N577),"falso")</f>
        <v>falso</v>
      </c>
      <c r="P577">
        <f>COUNTIF(D577:H577,"x")</f>
        <v>0</v>
      </c>
      <c r="Q577" s="38" t="str">
        <f>IF(P577&lt;1,"error",IF(P577&gt;1,"error",""))</f>
        <v>error</v>
      </c>
      <c r="R577" s="38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4"/>
    </row>
    <row r="578" spans="2:122" ht="15.75" thickBot="1" x14ac:dyDescent="0.3">
      <c r="B578" s="1"/>
      <c r="C578" s="39"/>
      <c r="D578" s="40">
        <v>5</v>
      </c>
      <c r="E578" s="40">
        <v>4</v>
      </c>
      <c r="F578" s="40">
        <v>3</v>
      </c>
      <c r="G578" s="40">
        <v>2</v>
      </c>
      <c r="H578" s="40">
        <v>1</v>
      </c>
      <c r="I578" s="41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4"/>
    </row>
    <row r="579" spans="2:122" ht="15.75" thickBot="1" x14ac:dyDescent="0.3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4"/>
    </row>
    <row r="580" spans="2:122" x14ac:dyDescent="0.25">
      <c r="B580" s="1"/>
      <c r="C580" s="31" t="s">
        <v>229</v>
      </c>
      <c r="D580" s="43" t="s">
        <v>230</v>
      </c>
      <c r="E580" s="44"/>
      <c r="F580" s="44"/>
      <c r="G580" s="44"/>
      <c r="H580" s="44"/>
      <c r="I580" s="45"/>
      <c r="J580" s="3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4"/>
    </row>
    <row r="581" spans="2:122" x14ac:dyDescent="0.25">
      <c r="B581" s="1"/>
      <c r="C581" s="33"/>
      <c r="D581" s="34"/>
      <c r="E581" s="34"/>
      <c r="F581" s="34"/>
      <c r="G581" s="34"/>
      <c r="H581" s="34"/>
      <c r="I581" s="3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4"/>
    </row>
    <row r="582" spans="2:122" ht="26.25" x14ac:dyDescent="0.25">
      <c r="B582" s="1"/>
      <c r="C582" s="33"/>
      <c r="D582" s="36" t="s">
        <v>42</v>
      </c>
      <c r="E582" s="36" t="s">
        <v>43</v>
      </c>
      <c r="F582" s="36" t="s">
        <v>44</v>
      </c>
      <c r="G582" s="36" t="s">
        <v>45</v>
      </c>
      <c r="H582" s="36" t="s">
        <v>46</v>
      </c>
      <c r="I582" s="3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4"/>
    </row>
    <row r="583" spans="2:122" x14ac:dyDescent="0.25">
      <c r="B583" s="1"/>
      <c r="C583" s="33"/>
      <c r="D583" s="37"/>
      <c r="E583" s="37"/>
      <c r="F583" s="37"/>
      <c r="G583" s="37"/>
      <c r="H583" s="37"/>
      <c r="I583" s="35"/>
      <c r="J583">
        <f>IF(D583="x",5,0)</f>
        <v>0</v>
      </c>
      <c r="K583">
        <f>IF(E583="x",4,0)</f>
        <v>0</v>
      </c>
      <c r="L583">
        <f>IF(F583="x",3,0)</f>
        <v>0</v>
      </c>
      <c r="M583">
        <f>IF(G583="x",2,0)</f>
        <v>0</v>
      </c>
      <c r="N583">
        <f>IF(H583="x",1,0)</f>
        <v>0</v>
      </c>
      <c r="O583" s="3" t="str">
        <f>IF(Q583="",SUM(J583:N583),"falso")</f>
        <v>falso</v>
      </c>
      <c r="P583">
        <f>COUNTIF(D583:H583,"x")</f>
        <v>0</v>
      </c>
      <c r="Q583" s="38" t="str">
        <f>IF(P583&lt;1,"error",IF(P583&gt;1,"error",""))</f>
        <v>error</v>
      </c>
      <c r="R583" s="38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4"/>
    </row>
    <row r="584" spans="2:122" ht="15.75" thickBot="1" x14ac:dyDescent="0.3">
      <c r="B584" s="1"/>
      <c r="C584" s="39"/>
      <c r="D584" s="40">
        <v>5</v>
      </c>
      <c r="E584" s="40">
        <v>4</v>
      </c>
      <c r="F584" s="40">
        <v>3</v>
      </c>
      <c r="G584" s="40">
        <v>2</v>
      </c>
      <c r="H584" s="40">
        <v>1</v>
      </c>
      <c r="I584" s="41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4"/>
    </row>
    <row r="585" spans="2:122" ht="15.75" thickBot="1" x14ac:dyDescent="0.3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4"/>
    </row>
    <row r="586" spans="2:122" x14ac:dyDescent="0.25">
      <c r="B586" s="1"/>
      <c r="C586" s="31" t="s">
        <v>231</v>
      </c>
      <c r="D586" s="43" t="s">
        <v>232</v>
      </c>
      <c r="E586" s="44"/>
      <c r="F586" s="44"/>
      <c r="G586" s="44"/>
      <c r="H586" s="44"/>
      <c r="I586" s="45"/>
      <c r="J586" s="3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4"/>
    </row>
    <row r="587" spans="2:122" x14ac:dyDescent="0.25">
      <c r="B587" s="1"/>
      <c r="C587" s="33"/>
      <c r="D587" s="34"/>
      <c r="E587" s="34"/>
      <c r="F587" s="34"/>
      <c r="G587" s="34"/>
      <c r="H587" s="34"/>
      <c r="I587" s="3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4"/>
    </row>
    <row r="588" spans="2:122" ht="26.25" x14ac:dyDescent="0.25">
      <c r="B588" s="1"/>
      <c r="C588" s="33"/>
      <c r="D588" s="36" t="s">
        <v>42</v>
      </c>
      <c r="E588" s="36" t="s">
        <v>43</v>
      </c>
      <c r="F588" s="36" t="s">
        <v>44</v>
      </c>
      <c r="G588" s="36" t="s">
        <v>45</v>
      </c>
      <c r="H588" s="36" t="s">
        <v>46</v>
      </c>
      <c r="I588" s="3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4"/>
    </row>
    <row r="589" spans="2:122" x14ac:dyDescent="0.25">
      <c r="B589" s="1"/>
      <c r="C589" s="33"/>
      <c r="D589" s="37"/>
      <c r="E589" s="37"/>
      <c r="F589" s="37"/>
      <c r="G589" s="37"/>
      <c r="H589" s="37"/>
      <c r="I589" s="35"/>
      <c r="J589">
        <f>IF(D589="x",5,0)</f>
        <v>0</v>
      </c>
      <c r="K589">
        <f>IF(E589="x",4,0)</f>
        <v>0</v>
      </c>
      <c r="L589">
        <f>IF(F589="x",3,0)</f>
        <v>0</v>
      </c>
      <c r="M589">
        <f>IF(G589="x",2,0)</f>
        <v>0</v>
      </c>
      <c r="N589">
        <f>IF(H589="x",1,0)</f>
        <v>0</v>
      </c>
      <c r="O589" s="3" t="str">
        <f>IF(Q589="",SUM(J589:N589),"falso")</f>
        <v>falso</v>
      </c>
      <c r="P589">
        <f>COUNTIF(D589:H589,"x")</f>
        <v>0</v>
      </c>
      <c r="Q589" s="38" t="str">
        <f>IF(P589&lt;1,"error",IF(P589&gt;1,"error",""))</f>
        <v>error</v>
      </c>
      <c r="R589" s="38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4"/>
    </row>
    <row r="590" spans="2:122" ht="15.75" thickBot="1" x14ac:dyDescent="0.3">
      <c r="B590" s="1"/>
      <c r="C590" s="39"/>
      <c r="D590" s="40">
        <v>5</v>
      </c>
      <c r="E590" s="40">
        <v>4</v>
      </c>
      <c r="F590" s="40">
        <v>3</v>
      </c>
      <c r="G590" s="40">
        <v>2</v>
      </c>
      <c r="H590" s="40">
        <v>1</v>
      </c>
      <c r="I590" s="41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4"/>
    </row>
    <row r="591" spans="2:122" ht="15.75" thickBot="1" x14ac:dyDescent="0.3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4"/>
    </row>
    <row r="592" spans="2:122" x14ac:dyDescent="0.25">
      <c r="B592" s="1"/>
      <c r="C592" s="31" t="s">
        <v>233</v>
      </c>
      <c r="D592" s="43" t="s">
        <v>234</v>
      </c>
      <c r="E592" s="44"/>
      <c r="F592" s="44"/>
      <c r="G592" s="44"/>
      <c r="H592" s="44"/>
      <c r="I592" s="45"/>
      <c r="J592" s="3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4"/>
    </row>
    <row r="593" spans="2:122" x14ac:dyDescent="0.25">
      <c r="B593" s="1"/>
      <c r="C593" s="33"/>
      <c r="D593" s="34"/>
      <c r="E593" s="34"/>
      <c r="F593" s="34"/>
      <c r="G593" s="34"/>
      <c r="H593" s="34"/>
      <c r="I593" s="3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4"/>
    </row>
    <row r="594" spans="2:122" ht="26.25" x14ac:dyDescent="0.25">
      <c r="B594" s="1"/>
      <c r="C594" s="33"/>
      <c r="D594" s="36" t="s">
        <v>42</v>
      </c>
      <c r="E594" s="36" t="s">
        <v>43</v>
      </c>
      <c r="F594" s="36" t="s">
        <v>44</v>
      </c>
      <c r="G594" s="36" t="s">
        <v>45</v>
      </c>
      <c r="H594" s="36" t="s">
        <v>46</v>
      </c>
      <c r="I594" s="3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4"/>
    </row>
    <row r="595" spans="2:122" x14ac:dyDescent="0.25">
      <c r="B595" s="1"/>
      <c r="C595" s="33"/>
      <c r="D595" s="37"/>
      <c r="E595" s="37"/>
      <c r="F595" s="37"/>
      <c r="G595" s="37"/>
      <c r="H595" s="37"/>
      <c r="I595" s="35"/>
      <c r="J595">
        <f>IF(D595="x",5,0)</f>
        <v>0</v>
      </c>
      <c r="K595">
        <f>IF(E595="x",4,0)</f>
        <v>0</v>
      </c>
      <c r="L595">
        <f>IF(F595="x",3,0)</f>
        <v>0</v>
      </c>
      <c r="M595">
        <f>IF(G595="x",2,0)</f>
        <v>0</v>
      </c>
      <c r="N595">
        <f>IF(H595="x",1,0)</f>
        <v>0</v>
      </c>
      <c r="O595" s="3" t="str">
        <f>IF(Q595="",SUM(J595:N595),"falso")</f>
        <v>falso</v>
      </c>
      <c r="P595">
        <f>COUNTIF(D595:H595,"x")</f>
        <v>0</v>
      </c>
      <c r="Q595" s="38" t="str">
        <f>IF(P595&lt;1,"error",IF(P595&gt;1,"error",""))</f>
        <v>error</v>
      </c>
      <c r="R595" s="38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4"/>
    </row>
    <row r="596" spans="2:122" ht="15.75" thickBot="1" x14ac:dyDescent="0.3">
      <c r="B596" s="1"/>
      <c r="C596" s="39"/>
      <c r="D596" s="40">
        <v>5</v>
      </c>
      <c r="E596" s="40">
        <v>4</v>
      </c>
      <c r="F596" s="40">
        <v>3</v>
      </c>
      <c r="G596" s="40">
        <v>2</v>
      </c>
      <c r="H596" s="40">
        <v>1</v>
      </c>
      <c r="I596" s="41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4"/>
    </row>
    <row r="597" spans="2:122" ht="15.75" thickBot="1" x14ac:dyDescent="0.3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4"/>
    </row>
    <row r="598" spans="2:122" x14ac:dyDescent="0.25">
      <c r="B598" s="1"/>
      <c r="C598" s="31" t="s">
        <v>235</v>
      </c>
      <c r="D598" s="43" t="s">
        <v>236</v>
      </c>
      <c r="E598" s="44"/>
      <c r="F598" s="44"/>
      <c r="G598" s="44"/>
      <c r="H598" s="44"/>
      <c r="I598" s="45"/>
      <c r="J598" s="3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4"/>
    </row>
    <row r="599" spans="2:122" x14ac:dyDescent="0.25">
      <c r="B599" s="1"/>
      <c r="C599" s="33"/>
      <c r="D599" s="34"/>
      <c r="E599" s="34"/>
      <c r="F599" s="34"/>
      <c r="G599" s="34"/>
      <c r="H599" s="34"/>
      <c r="I599" s="3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4"/>
    </row>
    <row r="600" spans="2:122" ht="26.25" x14ac:dyDescent="0.25">
      <c r="B600" s="1"/>
      <c r="C600" s="33"/>
      <c r="D600" s="36" t="s">
        <v>42</v>
      </c>
      <c r="E600" s="36" t="s">
        <v>43</v>
      </c>
      <c r="F600" s="36" t="s">
        <v>44</v>
      </c>
      <c r="G600" s="36" t="s">
        <v>45</v>
      </c>
      <c r="H600" s="36" t="s">
        <v>46</v>
      </c>
      <c r="I600" s="3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4"/>
    </row>
    <row r="601" spans="2:122" x14ac:dyDescent="0.25">
      <c r="B601" s="1"/>
      <c r="C601" s="33"/>
      <c r="D601" s="37"/>
      <c r="E601" s="37"/>
      <c r="F601" s="37"/>
      <c r="G601" s="37"/>
      <c r="H601" s="37"/>
      <c r="I601" s="35"/>
      <c r="J601">
        <f>IF(D601="x",5,0)</f>
        <v>0</v>
      </c>
      <c r="K601">
        <f>IF(E601="x",4,0)</f>
        <v>0</v>
      </c>
      <c r="L601">
        <f>IF(F601="x",3,0)</f>
        <v>0</v>
      </c>
      <c r="M601">
        <f>IF(G601="x",2,0)</f>
        <v>0</v>
      </c>
      <c r="N601">
        <f>IF(H601="x",1,0)</f>
        <v>0</v>
      </c>
      <c r="O601" s="3" t="str">
        <f>IF(Q601="",SUM(J601:N601),"falso")</f>
        <v>falso</v>
      </c>
      <c r="P601">
        <f>COUNTIF(D601:H601,"x")</f>
        <v>0</v>
      </c>
      <c r="Q601" s="38" t="str">
        <f>IF(P601&lt;1,"error",IF(P601&gt;1,"error",""))</f>
        <v>error</v>
      </c>
      <c r="R601" s="38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4"/>
    </row>
    <row r="602" spans="2:122" ht="15.75" thickBot="1" x14ac:dyDescent="0.3">
      <c r="B602" s="1"/>
      <c r="C602" s="39"/>
      <c r="D602" s="40">
        <v>5</v>
      </c>
      <c r="E602" s="40">
        <v>4</v>
      </c>
      <c r="F602" s="40">
        <v>3</v>
      </c>
      <c r="G602" s="40">
        <v>2</v>
      </c>
      <c r="H602" s="40">
        <v>1</v>
      </c>
      <c r="I602" s="41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4"/>
    </row>
    <row r="603" spans="2:122" ht="15.75" thickBot="1" x14ac:dyDescent="0.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4"/>
    </row>
    <row r="604" spans="2:122" x14ac:dyDescent="0.25">
      <c r="B604" s="1"/>
      <c r="C604" s="31" t="s">
        <v>237</v>
      </c>
      <c r="D604" s="43" t="s">
        <v>238</v>
      </c>
      <c r="E604" s="44"/>
      <c r="F604" s="44"/>
      <c r="G604" s="44"/>
      <c r="H604" s="44"/>
      <c r="I604" s="45"/>
      <c r="J604" s="3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4"/>
    </row>
    <row r="605" spans="2:122" x14ac:dyDescent="0.25">
      <c r="B605" s="1"/>
      <c r="C605" s="33"/>
      <c r="D605" s="34"/>
      <c r="E605" s="34"/>
      <c r="F605" s="34"/>
      <c r="G605" s="34"/>
      <c r="H605" s="34"/>
      <c r="I605" s="3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4"/>
    </row>
    <row r="606" spans="2:122" ht="26.25" x14ac:dyDescent="0.25">
      <c r="B606" s="1"/>
      <c r="C606" s="33"/>
      <c r="D606" s="36" t="s">
        <v>42</v>
      </c>
      <c r="E606" s="36" t="s">
        <v>43</v>
      </c>
      <c r="F606" s="36" t="s">
        <v>44</v>
      </c>
      <c r="G606" s="36" t="s">
        <v>45</v>
      </c>
      <c r="H606" s="36" t="s">
        <v>46</v>
      </c>
      <c r="I606" s="3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4"/>
    </row>
    <row r="607" spans="2:122" x14ac:dyDescent="0.25">
      <c r="B607" s="1"/>
      <c r="C607" s="33"/>
      <c r="D607" s="37"/>
      <c r="E607" s="37"/>
      <c r="F607" s="37"/>
      <c r="G607" s="37"/>
      <c r="H607" s="37"/>
      <c r="I607" s="35"/>
      <c r="J607">
        <f>IF(D607="x",5,0)</f>
        <v>0</v>
      </c>
      <c r="K607">
        <f>IF(E607="x",4,0)</f>
        <v>0</v>
      </c>
      <c r="L607">
        <f>IF(F607="x",3,0)</f>
        <v>0</v>
      </c>
      <c r="M607">
        <f>IF(G607="x",2,0)</f>
        <v>0</v>
      </c>
      <c r="N607">
        <f>IF(H607="x",1,0)</f>
        <v>0</v>
      </c>
      <c r="O607" s="3" t="str">
        <f>IF(Q607="",SUM(J607:N607),"falso")</f>
        <v>falso</v>
      </c>
      <c r="P607">
        <f>COUNTIF(D607:H607,"x")</f>
        <v>0</v>
      </c>
      <c r="Q607" s="38" t="str">
        <f>IF(P607&lt;1,"error",IF(P607&gt;1,"error",""))</f>
        <v>error</v>
      </c>
      <c r="R607" s="38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4"/>
    </row>
    <row r="608" spans="2:122" ht="15.75" thickBot="1" x14ac:dyDescent="0.3">
      <c r="B608" s="1"/>
      <c r="C608" s="39"/>
      <c r="D608" s="40">
        <v>5</v>
      </c>
      <c r="E608" s="40">
        <v>4</v>
      </c>
      <c r="F608" s="40">
        <v>3</v>
      </c>
      <c r="G608" s="40">
        <v>2</v>
      </c>
      <c r="H608" s="40">
        <v>1</v>
      </c>
      <c r="I608" s="41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4"/>
    </row>
    <row r="609" spans="2:122" ht="15.75" thickBot="1" x14ac:dyDescent="0.3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4"/>
    </row>
    <row r="610" spans="2:122" x14ac:dyDescent="0.25">
      <c r="B610" s="1"/>
      <c r="C610" s="31" t="s">
        <v>239</v>
      </c>
      <c r="D610" s="43" t="s">
        <v>240</v>
      </c>
      <c r="E610" s="44"/>
      <c r="F610" s="44"/>
      <c r="G610" s="44"/>
      <c r="H610" s="44"/>
      <c r="I610" s="45"/>
      <c r="J610" s="3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4"/>
    </row>
    <row r="611" spans="2:122" x14ac:dyDescent="0.25">
      <c r="B611" s="1"/>
      <c r="C611" s="33"/>
      <c r="D611" s="34"/>
      <c r="E611" s="34"/>
      <c r="F611" s="34"/>
      <c r="G611" s="34"/>
      <c r="H611" s="34"/>
      <c r="I611" s="3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4"/>
    </row>
    <row r="612" spans="2:122" ht="26.25" x14ac:dyDescent="0.25">
      <c r="B612" s="1"/>
      <c r="C612" s="33"/>
      <c r="D612" s="36" t="s">
        <v>42</v>
      </c>
      <c r="E612" s="36" t="s">
        <v>43</v>
      </c>
      <c r="F612" s="36" t="s">
        <v>44</v>
      </c>
      <c r="G612" s="36" t="s">
        <v>45</v>
      </c>
      <c r="H612" s="36" t="s">
        <v>46</v>
      </c>
      <c r="I612" s="3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4"/>
    </row>
    <row r="613" spans="2:122" x14ac:dyDescent="0.25">
      <c r="B613" s="1"/>
      <c r="C613" s="33"/>
      <c r="D613" s="37"/>
      <c r="E613" s="37"/>
      <c r="F613" s="37"/>
      <c r="G613" s="37"/>
      <c r="H613" s="37"/>
      <c r="I613" s="35"/>
      <c r="J613">
        <f>IF(D613="x",5,0)</f>
        <v>0</v>
      </c>
      <c r="K613">
        <f>IF(E613="x",4,0)</f>
        <v>0</v>
      </c>
      <c r="L613">
        <f>IF(F613="x",3,0)</f>
        <v>0</v>
      </c>
      <c r="M613">
        <f>IF(G613="x",2,0)</f>
        <v>0</v>
      </c>
      <c r="N613">
        <f>IF(H613="x",1,0)</f>
        <v>0</v>
      </c>
      <c r="O613" s="3" t="str">
        <f>IF(Q613="",SUM(J613:N613),"falso")</f>
        <v>falso</v>
      </c>
      <c r="P613">
        <f>COUNTIF(D613:H613,"x")</f>
        <v>0</v>
      </c>
      <c r="Q613" s="38" t="str">
        <f>IF(P613&lt;1,"error",IF(P613&gt;1,"error",""))</f>
        <v>error</v>
      </c>
      <c r="R613" s="38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4"/>
    </row>
    <row r="614" spans="2:122" ht="15.75" thickBot="1" x14ac:dyDescent="0.3">
      <c r="B614" s="1"/>
      <c r="C614" s="39"/>
      <c r="D614" s="40">
        <v>5</v>
      </c>
      <c r="E614" s="40">
        <v>4</v>
      </c>
      <c r="F614" s="40">
        <v>3</v>
      </c>
      <c r="G614" s="40">
        <v>2</v>
      </c>
      <c r="H614" s="40">
        <v>1</v>
      </c>
      <c r="I614" s="41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4"/>
    </row>
    <row r="615" spans="2:122" ht="15.75" thickBot="1" x14ac:dyDescent="0.3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4"/>
    </row>
    <row r="616" spans="2:122" x14ac:dyDescent="0.25">
      <c r="B616" s="1"/>
      <c r="C616" s="31" t="s">
        <v>241</v>
      </c>
      <c r="D616" s="43" t="s">
        <v>242</v>
      </c>
      <c r="E616" s="44"/>
      <c r="F616" s="44"/>
      <c r="G616" s="44"/>
      <c r="H616" s="44"/>
      <c r="I616" s="45"/>
      <c r="J616" s="3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4"/>
    </row>
    <row r="617" spans="2:122" x14ac:dyDescent="0.25">
      <c r="B617" s="1"/>
      <c r="C617" s="33"/>
      <c r="D617" s="34"/>
      <c r="E617" s="34"/>
      <c r="F617" s="34"/>
      <c r="G617" s="34"/>
      <c r="H617" s="34"/>
      <c r="I617" s="3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4"/>
    </row>
    <row r="618" spans="2:122" ht="26.25" x14ac:dyDescent="0.25">
      <c r="B618" s="1"/>
      <c r="C618" s="33"/>
      <c r="D618" s="36" t="s">
        <v>42</v>
      </c>
      <c r="E618" s="36" t="s">
        <v>43</v>
      </c>
      <c r="F618" s="36" t="s">
        <v>44</v>
      </c>
      <c r="G618" s="36" t="s">
        <v>45</v>
      </c>
      <c r="H618" s="36" t="s">
        <v>46</v>
      </c>
      <c r="I618" s="3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4"/>
    </row>
    <row r="619" spans="2:122" x14ac:dyDescent="0.25">
      <c r="B619" s="1"/>
      <c r="C619" s="33"/>
      <c r="D619" s="37"/>
      <c r="E619" s="37"/>
      <c r="F619" s="37"/>
      <c r="G619" s="37"/>
      <c r="H619" s="37"/>
      <c r="I619" s="35"/>
      <c r="J619">
        <f>IF(D619="x",5,0)</f>
        <v>0</v>
      </c>
      <c r="K619">
        <f>IF(E619="x",4,0)</f>
        <v>0</v>
      </c>
      <c r="L619">
        <f>IF(F619="x",3,0)</f>
        <v>0</v>
      </c>
      <c r="M619">
        <f>IF(G619="x",2,0)</f>
        <v>0</v>
      </c>
      <c r="N619">
        <f>IF(H619="x",1,0)</f>
        <v>0</v>
      </c>
      <c r="O619" s="3" t="str">
        <f>IF(Q619="",SUM(J619:N619),"falso")</f>
        <v>falso</v>
      </c>
      <c r="P619">
        <f>COUNTIF(D619:H619,"x")</f>
        <v>0</v>
      </c>
      <c r="Q619" s="38" t="str">
        <f>IF(P619&lt;1,"error",IF(P619&gt;1,"error",""))</f>
        <v>error</v>
      </c>
      <c r="R619" s="38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4"/>
    </row>
    <row r="620" spans="2:122" ht="15.75" thickBot="1" x14ac:dyDescent="0.3">
      <c r="B620" s="1"/>
      <c r="C620" s="39"/>
      <c r="D620" s="40">
        <v>5</v>
      </c>
      <c r="E620" s="40">
        <v>4</v>
      </c>
      <c r="F620" s="40">
        <v>3</v>
      </c>
      <c r="G620" s="40">
        <v>2</v>
      </c>
      <c r="H620" s="40">
        <v>1</v>
      </c>
      <c r="I620" s="41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4"/>
    </row>
    <row r="621" spans="2:122" ht="15.75" thickBot="1" x14ac:dyDescent="0.3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4"/>
    </row>
    <row r="622" spans="2:122" x14ac:dyDescent="0.25">
      <c r="B622" s="1"/>
      <c r="C622" s="31" t="s">
        <v>243</v>
      </c>
      <c r="D622" s="43" t="s">
        <v>244</v>
      </c>
      <c r="E622" s="44"/>
      <c r="F622" s="44"/>
      <c r="G622" s="44"/>
      <c r="H622" s="44"/>
      <c r="I622" s="45"/>
      <c r="J622" s="3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4"/>
    </row>
    <row r="623" spans="2:122" x14ac:dyDescent="0.25">
      <c r="B623" s="1"/>
      <c r="C623" s="33"/>
      <c r="D623" s="34"/>
      <c r="E623" s="34"/>
      <c r="F623" s="34"/>
      <c r="G623" s="34"/>
      <c r="H623" s="34"/>
      <c r="I623" s="3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4"/>
    </row>
    <row r="624" spans="2:122" ht="26.25" x14ac:dyDescent="0.25">
      <c r="B624" s="1"/>
      <c r="C624" s="33"/>
      <c r="D624" s="36" t="s">
        <v>42</v>
      </c>
      <c r="E624" s="36" t="s">
        <v>43</v>
      </c>
      <c r="F624" s="36" t="s">
        <v>44</v>
      </c>
      <c r="G624" s="36" t="s">
        <v>45</v>
      </c>
      <c r="H624" s="36" t="s">
        <v>46</v>
      </c>
      <c r="I624" s="3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4"/>
    </row>
    <row r="625" spans="2:122" x14ac:dyDescent="0.25">
      <c r="B625" s="1"/>
      <c r="C625" s="33"/>
      <c r="D625" s="37"/>
      <c r="E625" s="37"/>
      <c r="F625" s="37"/>
      <c r="G625" s="37"/>
      <c r="H625" s="37"/>
      <c r="I625" s="35"/>
      <c r="J625">
        <f>IF(D625="x",5,0)</f>
        <v>0</v>
      </c>
      <c r="K625">
        <f>IF(E625="x",4,0)</f>
        <v>0</v>
      </c>
      <c r="L625">
        <f>IF(F625="x",3,0)</f>
        <v>0</v>
      </c>
      <c r="M625">
        <f>IF(G625="x",2,0)</f>
        <v>0</v>
      </c>
      <c r="N625">
        <f>IF(H625="x",1,0)</f>
        <v>0</v>
      </c>
      <c r="O625" s="3" t="str">
        <f>IF(Q625="",SUM(J625:N625),"falso")</f>
        <v>falso</v>
      </c>
      <c r="P625">
        <f>COUNTIF(D625:H625,"x")</f>
        <v>0</v>
      </c>
      <c r="Q625" s="38" t="str">
        <f>IF(P625&lt;1,"error",IF(P625&gt;1,"error",""))</f>
        <v>error</v>
      </c>
      <c r="R625" s="38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4"/>
    </row>
    <row r="626" spans="2:122" ht="15.75" thickBot="1" x14ac:dyDescent="0.3">
      <c r="B626" s="1"/>
      <c r="C626" s="39"/>
      <c r="D626" s="40">
        <v>5</v>
      </c>
      <c r="E626" s="40">
        <v>4</v>
      </c>
      <c r="F626" s="40">
        <v>3</v>
      </c>
      <c r="G626" s="40">
        <v>2</v>
      </c>
      <c r="H626" s="40">
        <v>1</v>
      </c>
      <c r="I626" s="41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4"/>
    </row>
    <row r="627" spans="2:122" ht="15.75" thickBot="1" x14ac:dyDescent="0.3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4"/>
    </row>
    <row r="628" spans="2:122" x14ac:dyDescent="0.25">
      <c r="B628" s="1"/>
      <c r="C628" s="31" t="s">
        <v>245</v>
      </c>
      <c r="D628" s="43" t="s">
        <v>246</v>
      </c>
      <c r="E628" s="44"/>
      <c r="F628" s="44"/>
      <c r="G628" s="44"/>
      <c r="H628" s="44"/>
      <c r="I628" s="45"/>
      <c r="J628" s="3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4"/>
    </row>
    <row r="629" spans="2:122" x14ac:dyDescent="0.25">
      <c r="B629" s="1"/>
      <c r="C629" s="33"/>
      <c r="D629" s="34"/>
      <c r="E629" s="34"/>
      <c r="F629" s="34"/>
      <c r="G629" s="34"/>
      <c r="H629" s="34"/>
      <c r="I629" s="3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4"/>
    </row>
    <row r="630" spans="2:122" ht="26.25" x14ac:dyDescent="0.25">
      <c r="B630" s="1"/>
      <c r="C630" s="33"/>
      <c r="D630" s="36" t="s">
        <v>42</v>
      </c>
      <c r="E630" s="36" t="s">
        <v>43</v>
      </c>
      <c r="F630" s="36" t="s">
        <v>44</v>
      </c>
      <c r="G630" s="36" t="s">
        <v>45</v>
      </c>
      <c r="H630" s="36" t="s">
        <v>46</v>
      </c>
      <c r="I630" s="3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4"/>
    </row>
    <row r="631" spans="2:122" x14ac:dyDescent="0.25">
      <c r="B631" s="1"/>
      <c r="C631" s="33"/>
      <c r="D631" s="37"/>
      <c r="E631" s="37"/>
      <c r="F631" s="37"/>
      <c r="G631" s="37"/>
      <c r="H631" s="37"/>
      <c r="I631" s="35"/>
      <c r="J631">
        <f>IF(D631="x",5,0)</f>
        <v>0</v>
      </c>
      <c r="K631">
        <f>IF(E631="x",4,0)</f>
        <v>0</v>
      </c>
      <c r="L631">
        <f>IF(F631="x",3,0)</f>
        <v>0</v>
      </c>
      <c r="M631">
        <f>IF(G631="x",2,0)</f>
        <v>0</v>
      </c>
      <c r="N631">
        <f>IF(H631="x",1,0)</f>
        <v>0</v>
      </c>
      <c r="O631" s="3" t="str">
        <f>IF(Q631="",SUM(J631:N631),"falso")</f>
        <v>falso</v>
      </c>
      <c r="P631">
        <f>COUNTIF(D631:H631,"x")</f>
        <v>0</v>
      </c>
      <c r="Q631" s="38" t="str">
        <f>IF(P631&lt;1,"error",IF(P631&gt;1,"error",""))</f>
        <v>error</v>
      </c>
      <c r="R631" s="38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4"/>
    </row>
    <row r="632" spans="2:122" ht="15.75" thickBot="1" x14ac:dyDescent="0.3">
      <c r="B632" s="1"/>
      <c r="C632" s="39"/>
      <c r="D632" s="40">
        <v>5</v>
      </c>
      <c r="E632" s="40">
        <v>4</v>
      </c>
      <c r="F632" s="40">
        <v>3</v>
      </c>
      <c r="G632" s="40">
        <v>2</v>
      </c>
      <c r="H632" s="40">
        <v>1</v>
      </c>
      <c r="I632" s="41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4"/>
    </row>
    <row r="633" spans="2:122" ht="15.75" thickBot="1" x14ac:dyDescent="0.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4"/>
    </row>
    <row r="634" spans="2:122" x14ac:dyDescent="0.25">
      <c r="B634" s="1"/>
      <c r="C634" s="31" t="s">
        <v>247</v>
      </c>
      <c r="D634" s="43" t="s">
        <v>248</v>
      </c>
      <c r="E634" s="44"/>
      <c r="F634" s="44"/>
      <c r="G634" s="44"/>
      <c r="H634" s="44"/>
      <c r="I634" s="45"/>
      <c r="J634" s="3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4"/>
    </row>
    <row r="635" spans="2:122" x14ac:dyDescent="0.25">
      <c r="B635" s="1"/>
      <c r="C635" s="33"/>
      <c r="D635" s="34"/>
      <c r="E635" s="34"/>
      <c r="F635" s="34"/>
      <c r="G635" s="34"/>
      <c r="H635" s="34"/>
      <c r="I635" s="3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4"/>
    </row>
    <row r="636" spans="2:122" ht="26.25" x14ac:dyDescent="0.25">
      <c r="B636" s="1"/>
      <c r="C636" s="33"/>
      <c r="D636" s="36" t="s">
        <v>42</v>
      </c>
      <c r="E636" s="36" t="s">
        <v>43</v>
      </c>
      <c r="F636" s="36" t="s">
        <v>44</v>
      </c>
      <c r="G636" s="36" t="s">
        <v>45</v>
      </c>
      <c r="H636" s="36" t="s">
        <v>46</v>
      </c>
      <c r="I636" s="3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4"/>
    </row>
    <row r="637" spans="2:122" x14ac:dyDescent="0.25">
      <c r="B637" s="1"/>
      <c r="C637" s="33"/>
      <c r="D637" s="37"/>
      <c r="E637" s="37"/>
      <c r="F637" s="37"/>
      <c r="G637" s="37"/>
      <c r="H637" s="37"/>
      <c r="I637" s="35"/>
      <c r="J637">
        <f>IF(D637="x",5,0)</f>
        <v>0</v>
      </c>
      <c r="K637">
        <f>IF(E637="x",4,0)</f>
        <v>0</v>
      </c>
      <c r="L637">
        <f>IF(F637="x",3,0)</f>
        <v>0</v>
      </c>
      <c r="M637">
        <f>IF(G637="x",2,0)</f>
        <v>0</v>
      </c>
      <c r="N637">
        <f>IF(H637="x",1,0)</f>
        <v>0</v>
      </c>
      <c r="O637" s="3" t="str">
        <f>IF(Q637="",SUM(J637:N637),"falso")</f>
        <v>falso</v>
      </c>
      <c r="P637">
        <f>COUNTIF(D637:H637,"x")</f>
        <v>0</v>
      </c>
      <c r="Q637" s="38" t="str">
        <f>IF(P637&lt;1,"error",IF(P637&gt;1,"error",""))</f>
        <v>error</v>
      </c>
      <c r="R637" s="38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4"/>
    </row>
    <row r="638" spans="2:122" ht="15.75" thickBot="1" x14ac:dyDescent="0.3">
      <c r="B638" s="1"/>
      <c r="C638" s="39"/>
      <c r="D638" s="40">
        <v>5</v>
      </c>
      <c r="E638" s="40">
        <v>4</v>
      </c>
      <c r="F638" s="40">
        <v>3</v>
      </c>
      <c r="G638" s="40">
        <v>2</v>
      </c>
      <c r="H638" s="40">
        <v>1</v>
      </c>
      <c r="I638" s="41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4"/>
    </row>
    <row r="639" spans="2:122" ht="15.75" thickBot="1" x14ac:dyDescent="0.3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4"/>
    </row>
    <row r="640" spans="2:122" x14ac:dyDescent="0.25">
      <c r="B640" s="1"/>
      <c r="C640" s="31" t="s">
        <v>249</v>
      </c>
      <c r="D640" s="43" t="s">
        <v>250</v>
      </c>
      <c r="E640" s="44"/>
      <c r="F640" s="44"/>
      <c r="G640" s="44"/>
      <c r="H640" s="44"/>
      <c r="I640" s="45"/>
      <c r="J640" s="3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4"/>
    </row>
    <row r="641" spans="2:122" x14ac:dyDescent="0.25">
      <c r="B641" s="1"/>
      <c r="C641" s="33"/>
      <c r="D641" s="34"/>
      <c r="E641" s="34"/>
      <c r="F641" s="34"/>
      <c r="G641" s="34"/>
      <c r="H641" s="34"/>
      <c r="I641" s="3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4"/>
    </row>
    <row r="642" spans="2:122" ht="26.25" x14ac:dyDescent="0.25">
      <c r="B642" s="1"/>
      <c r="C642" s="33"/>
      <c r="D642" s="36" t="s">
        <v>42</v>
      </c>
      <c r="E642" s="36" t="s">
        <v>43</v>
      </c>
      <c r="F642" s="36" t="s">
        <v>44</v>
      </c>
      <c r="G642" s="36" t="s">
        <v>45</v>
      </c>
      <c r="H642" s="36" t="s">
        <v>46</v>
      </c>
      <c r="I642" s="3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4"/>
    </row>
    <row r="643" spans="2:122" x14ac:dyDescent="0.25">
      <c r="B643" s="1"/>
      <c r="C643" s="33"/>
      <c r="D643" s="37"/>
      <c r="E643" s="37"/>
      <c r="F643" s="37"/>
      <c r="G643" s="37"/>
      <c r="H643" s="37"/>
      <c r="I643" s="35"/>
      <c r="J643">
        <f>IF(D643="x",5,0)</f>
        <v>0</v>
      </c>
      <c r="K643">
        <f>IF(E643="x",4,0)</f>
        <v>0</v>
      </c>
      <c r="L643">
        <f>IF(F643="x",3,0)</f>
        <v>0</v>
      </c>
      <c r="M643">
        <f>IF(G643="x",2,0)</f>
        <v>0</v>
      </c>
      <c r="N643">
        <f>IF(H643="x",1,0)</f>
        <v>0</v>
      </c>
      <c r="O643" s="3" t="str">
        <f>IF(Q643="",SUM(J643:N643),"falso")</f>
        <v>falso</v>
      </c>
      <c r="P643">
        <f>COUNTIF(D643:H643,"x")</f>
        <v>0</v>
      </c>
      <c r="Q643" s="38" t="str">
        <f>IF(P643&lt;1,"error",IF(P643&gt;1,"error",""))</f>
        <v>error</v>
      </c>
      <c r="R643" s="38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4"/>
    </row>
    <row r="644" spans="2:122" ht="15.75" thickBot="1" x14ac:dyDescent="0.3">
      <c r="B644" s="1"/>
      <c r="C644" s="39"/>
      <c r="D644" s="40">
        <v>5</v>
      </c>
      <c r="E644" s="40">
        <v>4</v>
      </c>
      <c r="F644" s="40">
        <v>3</v>
      </c>
      <c r="G644" s="40">
        <v>2</v>
      </c>
      <c r="H644" s="40">
        <v>1</v>
      </c>
      <c r="I644" s="41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4"/>
    </row>
    <row r="645" spans="2:122" ht="15.75" thickBot="1" x14ac:dyDescent="0.3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4"/>
    </row>
    <row r="646" spans="2:122" x14ac:dyDescent="0.25">
      <c r="B646" s="1"/>
      <c r="C646" s="31" t="s">
        <v>251</v>
      </c>
      <c r="D646" s="43" t="s">
        <v>252</v>
      </c>
      <c r="E646" s="44"/>
      <c r="F646" s="44"/>
      <c r="G646" s="44"/>
      <c r="H646" s="44"/>
      <c r="I646" s="45"/>
      <c r="J646" s="3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4"/>
    </row>
    <row r="647" spans="2:122" x14ac:dyDescent="0.25">
      <c r="B647" s="1"/>
      <c r="C647" s="33"/>
      <c r="D647" s="34"/>
      <c r="E647" s="34"/>
      <c r="F647" s="34"/>
      <c r="G647" s="34"/>
      <c r="H647" s="34"/>
      <c r="I647" s="3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4"/>
    </row>
    <row r="648" spans="2:122" ht="26.25" x14ac:dyDescent="0.25">
      <c r="B648" s="1"/>
      <c r="C648" s="33"/>
      <c r="D648" s="36" t="s">
        <v>42</v>
      </c>
      <c r="E648" s="36" t="s">
        <v>43</v>
      </c>
      <c r="F648" s="36" t="s">
        <v>44</v>
      </c>
      <c r="G648" s="36" t="s">
        <v>45</v>
      </c>
      <c r="H648" s="36" t="s">
        <v>46</v>
      </c>
      <c r="I648" s="3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4"/>
    </row>
    <row r="649" spans="2:122" x14ac:dyDescent="0.25">
      <c r="B649" s="1"/>
      <c r="C649" s="33"/>
      <c r="D649" s="37"/>
      <c r="E649" s="37"/>
      <c r="F649" s="37"/>
      <c r="G649" s="37"/>
      <c r="H649" s="37"/>
      <c r="I649" s="35"/>
      <c r="J649">
        <f>IF(D649="x",5,0)</f>
        <v>0</v>
      </c>
      <c r="K649">
        <f>IF(E649="x",4,0)</f>
        <v>0</v>
      </c>
      <c r="L649">
        <f>IF(F649="x",3,0)</f>
        <v>0</v>
      </c>
      <c r="M649">
        <f>IF(G649="x",2,0)</f>
        <v>0</v>
      </c>
      <c r="N649">
        <f>IF(H649="x",1,0)</f>
        <v>0</v>
      </c>
      <c r="O649" s="3" t="str">
        <f>IF(Q649="",SUM(J649:N649),"falso")</f>
        <v>falso</v>
      </c>
      <c r="P649">
        <f>COUNTIF(D649:H649,"x")</f>
        <v>0</v>
      </c>
      <c r="Q649" s="38" t="str">
        <f>IF(P649&lt;1,"error",IF(P649&gt;1,"error",""))</f>
        <v>error</v>
      </c>
      <c r="R649" s="38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4"/>
    </row>
    <row r="650" spans="2:122" ht="15.75" thickBot="1" x14ac:dyDescent="0.3">
      <c r="B650" s="1"/>
      <c r="C650" s="39"/>
      <c r="D650" s="40">
        <v>5</v>
      </c>
      <c r="E650" s="40">
        <v>4</v>
      </c>
      <c r="F650" s="40">
        <v>3</v>
      </c>
      <c r="G650" s="40">
        <v>2</v>
      </c>
      <c r="H650" s="40">
        <v>1</v>
      </c>
      <c r="I650" s="41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4"/>
    </row>
    <row r="651" spans="2:122" ht="15.75" thickBot="1" x14ac:dyDescent="0.3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4"/>
    </row>
    <row r="652" spans="2:122" x14ac:dyDescent="0.25">
      <c r="B652" s="1"/>
      <c r="C652" s="31" t="s">
        <v>253</v>
      </c>
      <c r="D652" s="43" t="s">
        <v>254</v>
      </c>
      <c r="E652" s="44"/>
      <c r="F652" s="44"/>
      <c r="G652" s="44"/>
      <c r="H652" s="44"/>
      <c r="I652" s="45"/>
      <c r="J652" s="3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4"/>
    </row>
    <row r="653" spans="2:122" x14ac:dyDescent="0.25">
      <c r="B653" s="1"/>
      <c r="C653" s="33"/>
      <c r="D653" s="34"/>
      <c r="E653" s="34"/>
      <c r="F653" s="34"/>
      <c r="G653" s="34"/>
      <c r="H653" s="34"/>
      <c r="I653" s="3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4"/>
    </row>
    <row r="654" spans="2:122" ht="26.25" x14ac:dyDescent="0.25">
      <c r="B654" s="1"/>
      <c r="C654" s="33"/>
      <c r="D654" s="36" t="s">
        <v>42</v>
      </c>
      <c r="E654" s="36" t="s">
        <v>43</v>
      </c>
      <c r="F654" s="36" t="s">
        <v>44</v>
      </c>
      <c r="G654" s="36" t="s">
        <v>45</v>
      </c>
      <c r="H654" s="36" t="s">
        <v>46</v>
      </c>
      <c r="I654" s="3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4"/>
    </row>
    <row r="655" spans="2:122" x14ac:dyDescent="0.25">
      <c r="B655" s="1"/>
      <c r="C655" s="33"/>
      <c r="D655" s="37"/>
      <c r="E655" s="37"/>
      <c r="F655" s="37"/>
      <c r="G655" s="37"/>
      <c r="H655" s="37"/>
      <c r="I655" s="35"/>
      <c r="J655">
        <f>IF(D655="x",5,0)</f>
        <v>0</v>
      </c>
      <c r="K655">
        <f>IF(E655="x",4,0)</f>
        <v>0</v>
      </c>
      <c r="L655">
        <f>IF(F655="x",3,0)</f>
        <v>0</v>
      </c>
      <c r="M655">
        <f>IF(G655="x",2,0)</f>
        <v>0</v>
      </c>
      <c r="N655">
        <f>IF(H655="x",1,0)</f>
        <v>0</v>
      </c>
      <c r="O655" s="3" t="str">
        <f>IF(Q655="",SUM(J655:N655),"falso")</f>
        <v>falso</v>
      </c>
      <c r="P655">
        <f>COUNTIF(D655:H655,"x")</f>
        <v>0</v>
      </c>
      <c r="Q655" s="38" t="str">
        <f>IF(P655&lt;1,"error",IF(P655&gt;1,"error",""))</f>
        <v>error</v>
      </c>
      <c r="R655" s="38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4"/>
    </row>
    <row r="656" spans="2:122" ht="15.75" thickBot="1" x14ac:dyDescent="0.3">
      <c r="B656" s="1"/>
      <c r="C656" s="39"/>
      <c r="D656" s="40">
        <v>5</v>
      </c>
      <c r="E656" s="40">
        <v>4</v>
      </c>
      <c r="F656" s="40">
        <v>3</v>
      </c>
      <c r="G656" s="40">
        <v>2</v>
      </c>
      <c r="H656" s="40">
        <v>1</v>
      </c>
      <c r="I656" s="41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4"/>
    </row>
    <row r="657" spans="2:122" ht="15.75" thickBot="1" x14ac:dyDescent="0.3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4"/>
    </row>
    <row r="658" spans="2:122" x14ac:dyDescent="0.25">
      <c r="B658" s="1"/>
      <c r="C658" s="31" t="s">
        <v>255</v>
      </c>
      <c r="D658" s="43" t="s">
        <v>256</v>
      </c>
      <c r="E658" s="44"/>
      <c r="F658" s="44"/>
      <c r="G658" s="44"/>
      <c r="H658" s="44"/>
      <c r="I658" s="45"/>
      <c r="J658" s="3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4"/>
    </row>
    <row r="659" spans="2:122" x14ac:dyDescent="0.25">
      <c r="B659" s="1"/>
      <c r="C659" s="33"/>
      <c r="D659" s="34"/>
      <c r="E659" s="34"/>
      <c r="F659" s="34"/>
      <c r="G659" s="34"/>
      <c r="H659" s="34"/>
      <c r="I659" s="3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4"/>
    </row>
    <row r="660" spans="2:122" ht="26.25" x14ac:dyDescent="0.25">
      <c r="B660" s="1"/>
      <c r="C660" s="33"/>
      <c r="D660" s="36" t="s">
        <v>42</v>
      </c>
      <c r="E660" s="36" t="s">
        <v>43</v>
      </c>
      <c r="F660" s="36" t="s">
        <v>44</v>
      </c>
      <c r="G660" s="36" t="s">
        <v>45</v>
      </c>
      <c r="H660" s="36" t="s">
        <v>46</v>
      </c>
      <c r="I660" s="3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4"/>
    </row>
    <row r="661" spans="2:122" x14ac:dyDescent="0.25">
      <c r="B661" s="1"/>
      <c r="C661" s="33"/>
      <c r="D661" s="37"/>
      <c r="E661" s="37"/>
      <c r="F661" s="37"/>
      <c r="G661" s="37"/>
      <c r="H661" s="37"/>
      <c r="I661" s="35"/>
      <c r="J661">
        <f>IF(D661="x",5,0)</f>
        <v>0</v>
      </c>
      <c r="K661">
        <f>IF(E661="x",4,0)</f>
        <v>0</v>
      </c>
      <c r="L661">
        <f>IF(F661="x",3,0)</f>
        <v>0</v>
      </c>
      <c r="M661">
        <f>IF(G661="x",2,0)</f>
        <v>0</v>
      </c>
      <c r="N661">
        <f>IF(H661="x",1,0)</f>
        <v>0</v>
      </c>
      <c r="O661" s="3" t="str">
        <f>IF(Q661="",SUM(J661:N661),"falso")</f>
        <v>falso</v>
      </c>
      <c r="P661">
        <f>COUNTIF(D661:H661,"x")</f>
        <v>0</v>
      </c>
      <c r="Q661" s="38" t="str">
        <f>IF(P661&lt;1,"error",IF(P661&gt;1,"error",""))</f>
        <v>error</v>
      </c>
      <c r="R661" s="38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4"/>
    </row>
    <row r="662" spans="2:122" ht="15.75" thickBot="1" x14ac:dyDescent="0.3">
      <c r="B662" s="1"/>
      <c r="C662" s="39"/>
      <c r="D662" s="40">
        <v>5</v>
      </c>
      <c r="E662" s="40">
        <v>4</v>
      </c>
      <c r="F662" s="40">
        <v>3</v>
      </c>
      <c r="G662" s="40">
        <v>2</v>
      </c>
      <c r="H662" s="40">
        <v>1</v>
      </c>
      <c r="I662" s="41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4"/>
    </row>
    <row r="663" spans="2:122" ht="15.75" thickBot="1" x14ac:dyDescent="0.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4"/>
    </row>
    <row r="664" spans="2:122" x14ac:dyDescent="0.25">
      <c r="B664" s="1"/>
      <c r="C664" s="31" t="s">
        <v>257</v>
      </c>
      <c r="D664" s="43" t="s">
        <v>258</v>
      </c>
      <c r="E664" s="44"/>
      <c r="F664" s="44"/>
      <c r="G664" s="44"/>
      <c r="H664" s="44"/>
      <c r="I664" s="45"/>
      <c r="J664" s="3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4"/>
    </row>
    <row r="665" spans="2:122" x14ac:dyDescent="0.25">
      <c r="B665" s="1"/>
      <c r="C665" s="33"/>
      <c r="D665" s="34"/>
      <c r="E665" s="34"/>
      <c r="F665" s="34"/>
      <c r="G665" s="34"/>
      <c r="H665" s="34"/>
      <c r="I665" s="3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4"/>
    </row>
    <row r="666" spans="2:122" ht="26.25" x14ac:dyDescent="0.25">
      <c r="B666" s="1"/>
      <c r="C666" s="33"/>
      <c r="D666" s="36" t="s">
        <v>42</v>
      </c>
      <c r="E666" s="36" t="s">
        <v>43</v>
      </c>
      <c r="F666" s="36" t="s">
        <v>44</v>
      </c>
      <c r="G666" s="36" t="s">
        <v>45</v>
      </c>
      <c r="H666" s="36" t="s">
        <v>46</v>
      </c>
      <c r="I666" s="3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4"/>
    </row>
    <row r="667" spans="2:122" x14ac:dyDescent="0.25">
      <c r="B667" s="1"/>
      <c r="C667" s="33"/>
      <c r="D667" s="37"/>
      <c r="E667" s="37"/>
      <c r="F667" s="37"/>
      <c r="G667" s="37"/>
      <c r="H667" s="37"/>
      <c r="I667" s="35"/>
      <c r="J667">
        <f>IF(D667="x",5,0)</f>
        <v>0</v>
      </c>
      <c r="K667">
        <f>IF(E667="x",4,0)</f>
        <v>0</v>
      </c>
      <c r="L667">
        <f>IF(F667="x",3,0)</f>
        <v>0</v>
      </c>
      <c r="M667">
        <f>IF(G667="x",2,0)</f>
        <v>0</v>
      </c>
      <c r="N667">
        <f>IF(H667="x",1,0)</f>
        <v>0</v>
      </c>
      <c r="O667" s="3" t="str">
        <f>IF(Q667="",SUM(J667:N667),"falso")</f>
        <v>falso</v>
      </c>
      <c r="P667">
        <f>COUNTIF(D667:H667,"x")</f>
        <v>0</v>
      </c>
      <c r="Q667" s="38" t="str">
        <f>IF(P667&lt;1,"error",IF(P667&gt;1,"error",""))</f>
        <v>error</v>
      </c>
      <c r="R667" s="38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4"/>
    </row>
    <row r="668" spans="2:122" ht="15.75" thickBot="1" x14ac:dyDescent="0.3">
      <c r="B668" s="1"/>
      <c r="C668" s="39"/>
      <c r="D668" s="40">
        <v>5</v>
      </c>
      <c r="E668" s="40">
        <v>4</v>
      </c>
      <c r="F668" s="40">
        <v>3</v>
      </c>
      <c r="G668" s="40">
        <v>2</v>
      </c>
      <c r="H668" s="40">
        <v>1</v>
      </c>
      <c r="I668" s="41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4"/>
    </row>
    <row r="669" spans="2:122" ht="15.75" thickBot="1" x14ac:dyDescent="0.3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4"/>
    </row>
    <row r="670" spans="2:122" x14ac:dyDescent="0.25">
      <c r="B670" s="1"/>
      <c r="C670" s="31" t="s">
        <v>259</v>
      </c>
      <c r="D670" s="43" t="s">
        <v>260</v>
      </c>
      <c r="E670" s="44"/>
      <c r="F670" s="44"/>
      <c r="G670" s="44"/>
      <c r="H670" s="44"/>
      <c r="I670" s="45"/>
      <c r="J670" s="3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4"/>
    </row>
    <row r="671" spans="2:122" x14ac:dyDescent="0.25">
      <c r="B671" s="1"/>
      <c r="C671" s="33"/>
      <c r="D671" s="34"/>
      <c r="E671" s="34"/>
      <c r="F671" s="34"/>
      <c r="G671" s="34"/>
      <c r="H671" s="34"/>
      <c r="I671" s="3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4"/>
    </row>
    <row r="672" spans="2:122" ht="26.25" x14ac:dyDescent="0.25">
      <c r="B672" s="1"/>
      <c r="C672" s="33"/>
      <c r="D672" s="36" t="s">
        <v>42</v>
      </c>
      <c r="E672" s="36" t="s">
        <v>43</v>
      </c>
      <c r="F672" s="36" t="s">
        <v>44</v>
      </c>
      <c r="G672" s="36" t="s">
        <v>45</v>
      </c>
      <c r="H672" s="36" t="s">
        <v>46</v>
      </c>
      <c r="I672" s="3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4"/>
    </row>
    <row r="673" spans="2:122" x14ac:dyDescent="0.25">
      <c r="B673" s="1"/>
      <c r="C673" s="33"/>
      <c r="D673" s="37"/>
      <c r="E673" s="37"/>
      <c r="F673" s="37"/>
      <c r="G673" s="37"/>
      <c r="H673" s="37"/>
      <c r="I673" s="35"/>
      <c r="J673">
        <f>IF(D673="x",5,0)</f>
        <v>0</v>
      </c>
      <c r="K673">
        <f>IF(E673="x",4,0)</f>
        <v>0</v>
      </c>
      <c r="L673">
        <f>IF(F673="x",3,0)</f>
        <v>0</v>
      </c>
      <c r="M673">
        <f>IF(G673="x",2,0)</f>
        <v>0</v>
      </c>
      <c r="N673">
        <f>IF(H673="x",1,0)</f>
        <v>0</v>
      </c>
      <c r="O673" s="3" t="str">
        <f>IF(Q673="",SUM(J673:N673),"falso")</f>
        <v>falso</v>
      </c>
      <c r="P673">
        <f>COUNTIF(D673:H673,"x")</f>
        <v>0</v>
      </c>
      <c r="Q673" s="38" t="str">
        <f>IF(P673&lt;1,"error",IF(P673&gt;1,"error",""))</f>
        <v>error</v>
      </c>
      <c r="R673" s="38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4"/>
    </row>
    <row r="674" spans="2:122" ht="15.75" thickBot="1" x14ac:dyDescent="0.3">
      <c r="B674" s="1"/>
      <c r="C674" s="39"/>
      <c r="D674" s="40">
        <v>5</v>
      </c>
      <c r="E674" s="40">
        <v>4</v>
      </c>
      <c r="F674" s="40">
        <v>3</v>
      </c>
      <c r="G674" s="40">
        <v>2</v>
      </c>
      <c r="H674" s="40">
        <v>1</v>
      </c>
      <c r="I674" s="41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4"/>
    </row>
    <row r="675" spans="2:122" ht="15.75" thickBot="1" x14ac:dyDescent="0.3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4"/>
    </row>
    <row r="676" spans="2:122" x14ac:dyDescent="0.25">
      <c r="B676" s="1"/>
      <c r="C676" s="31" t="s">
        <v>261</v>
      </c>
      <c r="D676" s="43" t="s">
        <v>262</v>
      </c>
      <c r="E676" s="44"/>
      <c r="F676" s="44"/>
      <c r="G676" s="44"/>
      <c r="H676" s="44"/>
      <c r="I676" s="45"/>
      <c r="J676" s="3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4"/>
    </row>
    <row r="677" spans="2:122" x14ac:dyDescent="0.25">
      <c r="B677" s="1"/>
      <c r="C677" s="33"/>
      <c r="D677" s="34"/>
      <c r="E677" s="34"/>
      <c r="F677" s="34"/>
      <c r="G677" s="34"/>
      <c r="H677" s="34"/>
      <c r="I677" s="3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4"/>
    </row>
    <row r="678" spans="2:122" ht="26.25" x14ac:dyDescent="0.25">
      <c r="B678" s="1"/>
      <c r="C678" s="33"/>
      <c r="D678" s="36" t="s">
        <v>42</v>
      </c>
      <c r="E678" s="36" t="s">
        <v>43</v>
      </c>
      <c r="F678" s="36" t="s">
        <v>44</v>
      </c>
      <c r="G678" s="36" t="s">
        <v>45</v>
      </c>
      <c r="H678" s="36" t="s">
        <v>46</v>
      </c>
      <c r="I678" s="3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4"/>
    </row>
    <row r="679" spans="2:122" x14ac:dyDescent="0.25">
      <c r="B679" s="1"/>
      <c r="C679" s="33"/>
      <c r="D679" s="37"/>
      <c r="E679" s="37"/>
      <c r="F679" s="37"/>
      <c r="G679" s="37"/>
      <c r="H679" s="37"/>
      <c r="I679" s="35"/>
      <c r="J679">
        <f>IF(D679="x",5,0)</f>
        <v>0</v>
      </c>
      <c r="K679">
        <f>IF(E679="x",4,0)</f>
        <v>0</v>
      </c>
      <c r="L679">
        <f>IF(F679="x",3,0)</f>
        <v>0</v>
      </c>
      <c r="M679">
        <f>IF(G679="x",2,0)</f>
        <v>0</v>
      </c>
      <c r="N679">
        <f>IF(H679="x",1,0)</f>
        <v>0</v>
      </c>
      <c r="O679" s="3" t="str">
        <f>IF(Q679="",SUM(J679:N679),"falso")</f>
        <v>falso</v>
      </c>
      <c r="P679">
        <f>COUNTIF(D679:H679,"x")</f>
        <v>0</v>
      </c>
      <c r="Q679" s="38" t="str">
        <f>IF(P679&lt;1,"error",IF(P679&gt;1,"error",""))</f>
        <v>error</v>
      </c>
      <c r="R679" s="38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4"/>
    </row>
    <row r="680" spans="2:122" ht="15.75" thickBot="1" x14ac:dyDescent="0.3">
      <c r="B680" s="1"/>
      <c r="C680" s="39"/>
      <c r="D680" s="40">
        <v>5</v>
      </c>
      <c r="E680" s="40">
        <v>4</v>
      </c>
      <c r="F680" s="40">
        <v>3</v>
      </c>
      <c r="G680" s="40">
        <v>2</v>
      </c>
      <c r="H680" s="40">
        <v>1</v>
      </c>
      <c r="I680" s="41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4"/>
    </row>
    <row r="681" spans="2:122" ht="15.75" thickBot="1" x14ac:dyDescent="0.3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4"/>
    </row>
    <row r="682" spans="2:122" x14ac:dyDescent="0.25">
      <c r="B682" s="1"/>
      <c r="C682" s="31" t="s">
        <v>263</v>
      </c>
      <c r="D682" s="43" t="s">
        <v>264</v>
      </c>
      <c r="E682" s="44"/>
      <c r="F682" s="44"/>
      <c r="G682" s="44"/>
      <c r="H682" s="44"/>
      <c r="I682" s="45"/>
      <c r="J682" s="3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4"/>
    </row>
    <row r="683" spans="2:122" x14ac:dyDescent="0.25">
      <c r="B683" s="1"/>
      <c r="C683" s="33"/>
      <c r="D683" s="34"/>
      <c r="E683" s="34"/>
      <c r="F683" s="34"/>
      <c r="G683" s="34"/>
      <c r="H683" s="34"/>
      <c r="I683" s="3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4"/>
    </row>
    <row r="684" spans="2:122" ht="26.25" x14ac:dyDescent="0.25">
      <c r="B684" s="1"/>
      <c r="C684" s="33"/>
      <c r="D684" s="36" t="s">
        <v>42</v>
      </c>
      <c r="E684" s="36" t="s">
        <v>43</v>
      </c>
      <c r="F684" s="36" t="s">
        <v>44</v>
      </c>
      <c r="G684" s="36" t="s">
        <v>45</v>
      </c>
      <c r="H684" s="36" t="s">
        <v>46</v>
      </c>
      <c r="I684" s="3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4"/>
    </row>
    <row r="685" spans="2:122" x14ac:dyDescent="0.25">
      <c r="B685" s="1"/>
      <c r="C685" s="33"/>
      <c r="D685" s="37"/>
      <c r="E685" s="37"/>
      <c r="F685" s="37"/>
      <c r="G685" s="37"/>
      <c r="H685" s="37"/>
      <c r="I685" s="35"/>
      <c r="J685">
        <f>IF(D685="x",5,0)</f>
        <v>0</v>
      </c>
      <c r="K685">
        <f>IF(E685="x",4,0)</f>
        <v>0</v>
      </c>
      <c r="L685">
        <f>IF(F685="x",3,0)</f>
        <v>0</v>
      </c>
      <c r="M685">
        <f>IF(G685="x",2,0)</f>
        <v>0</v>
      </c>
      <c r="N685">
        <f>IF(H685="x",1,0)</f>
        <v>0</v>
      </c>
      <c r="O685" s="3" t="str">
        <f>IF(Q685="",SUM(J685:N685),"falso")</f>
        <v>falso</v>
      </c>
      <c r="P685">
        <f>COUNTIF(D685:H685,"x")</f>
        <v>0</v>
      </c>
      <c r="Q685" s="38" t="str">
        <f>IF(P685&lt;1,"error",IF(P685&gt;1,"error",""))</f>
        <v>error</v>
      </c>
      <c r="R685" s="38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4"/>
    </row>
    <row r="686" spans="2:122" ht="15.75" thickBot="1" x14ac:dyDescent="0.3">
      <c r="B686" s="1"/>
      <c r="C686" s="39"/>
      <c r="D686" s="40">
        <v>5</v>
      </c>
      <c r="E686" s="40">
        <v>4</v>
      </c>
      <c r="F686" s="40">
        <v>3</v>
      </c>
      <c r="G686" s="40">
        <v>2</v>
      </c>
      <c r="H686" s="40">
        <v>1</v>
      </c>
      <c r="I686" s="41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4"/>
    </row>
    <row r="687" spans="2:122" ht="15.75" thickBot="1" x14ac:dyDescent="0.3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4"/>
    </row>
    <row r="688" spans="2:122" x14ac:dyDescent="0.25">
      <c r="B688" s="1"/>
      <c r="C688" s="31" t="s">
        <v>265</v>
      </c>
      <c r="D688" s="43" t="s">
        <v>266</v>
      </c>
      <c r="E688" s="44"/>
      <c r="F688" s="44"/>
      <c r="G688" s="44"/>
      <c r="H688" s="44"/>
      <c r="I688" s="45"/>
      <c r="J688" s="3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4"/>
    </row>
    <row r="689" spans="2:122" x14ac:dyDescent="0.25">
      <c r="B689" s="1"/>
      <c r="C689" s="33"/>
      <c r="D689" s="34"/>
      <c r="E689" s="34"/>
      <c r="F689" s="34"/>
      <c r="G689" s="34"/>
      <c r="H689" s="34"/>
      <c r="I689" s="3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4"/>
    </row>
    <row r="690" spans="2:122" ht="26.25" x14ac:dyDescent="0.25">
      <c r="B690" s="1"/>
      <c r="C690" s="33"/>
      <c r="D690" s="36" t="s">
        <v>42</v>
      </c>
      <c r="E690" s="36" t="s">
        <v>43</v>
      </c>
      <c r="F690" s="36" t="s">
        <v>44</v>
      </c>
      <c r="G690" s="36" t="s">
        <v>45</v>
      </c>
      <c r="H690" s="36" t="s">
        <v>46</v>
      </c>
      <c r="I690" s="3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4"/>
    </row>
    <row r="691" spans="2:122" x14ac:dyDescent="0.25">
      <c r="B691" s="1"/>
      <c r="C691" s="33"/>
      <c r="D691" s="37"/>
      <c r="E691" s="37"/>
      <c r="F691" s="37"/>
      <c r="G691" s="37"/>
      <c r="H691" s="37"/>
      <c r="I691" s="35"/>
      <c r="J691">
        <f>IF(D691="x",5,0)</f>
        <v>0</v>
      </c>
      <c r="K691">
        <f>IF(E691="x",4,0)</f>
        <v>0</v>
      </c>
      <c r="L691">
        <f>IF(F691="x",3,0)</f>
        <v>0</v>
      </c>
      <c r="M691">
        <f>IF(G691="x",2,0)</f>
        <v>0</v>
      </c>
      <c r="N691">
        <f>IF(H691="x",1,0)</f>
        <v>0</v>
      </c>
      <c r="O691" s="3" t="str">
        <f>IF(Q691="",SUM(J691:N691),"falso")</f>
        <v>falso</v>
      </c>
      <c r="P691">
        <f>COUNTIF(D691:H691,"x")</f>
        <v>0</v>
      </c>
      <c r="Q691" s="38" t="str">
        <f>IF(P691&lt;1,"error",IF(P691&gt;1,"error",""))</f>
        <v>error</v>
      </c>
      <c r="R691" s="38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4"/>
    </row>
    <row r="692" spans="2:122" ht="15.75" thickBot="1" x14ac:dyDescent="0.3">
      <c r="B692" s="1"/>
      <c r="C692" s="39"/>
      <c r="D692" s="40">
        <v>5</v>
      </c>
      <c r="E692" s="40">
        <v>4</v>
      </c>
      <c r="F692" s="40">
        <v>3</v>
      </c>
      <c r="G692" s="40">
        <v>2</v>
      </c>
      <c r="H692" s="40">
        <v>1</v>
      </c>
      <c r="I692" s="41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4"/>
    </row>
    <row r="693" spans="2:122" ht="15.75" thickBot="1" x14ac:dyDescent="0.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4"/>
    </row>
    <row r="694" spans="2:122" x14ac:dyDescent="0.25">
      <c r="B694" s="1"/>
      <c r="C694" s="31" t="s">
        <v>267</v>
      </c>
      <c r="D694" s="43" t="s">
        <v>268</v>
      </c>
      <c r="E694" s="44"/>
      <c r="F694" s="44"/>
      <c r="G694" s="44"/>
      <c r="H694" s="44"/>
      <c r="I694" s="45"/>
      <c r="J694" s="3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4"/>
    </row>
    <row r="695" spans="2:122" x14ac:dyDescent="0.25">
      <c r="B695" s="1"/>
      <c r="C695" s="33"/>
      <c r="D695" s="34"/>
      <c r="E695" s="34"/>
      <c r="F695" s="34"/>
      <c r="G695" s="34"/>
      <c r="H695" s="34"/>
      <c r="I695" s="3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4"/>
    </row>
    <row r="696" spans="2:122" ht="26.25" x14ac:dyDescent="0.25">
      <c r="B696" s="1"/>
      <c r="C696" s="33"/>
      <c r="D696" s="36" t="s">
        <v>42</v>
      </c>
      <c r="E696" s="36" t="s">
        <v>43</v>
      </c>
      <c r="F696" s="36" t="s">
        <v>44</v>
      </c>
      <c r="G696" s="36" t="s">
        <v>45</v>
      </c>
      <c r="H696" s="36" t="s">
        <v>46</v>
      </c>
      <c r="I696" s="3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4"/>
    </row>
    <row r="697" spans="2:122" x14ac:dyDescent="0.25">
      <c r="B697" s="1"/>
      <c r="C697" s="33"/>
      <c r="D697" s="37"/>
      <c r="E697" s="37"/>
      <c r="F697" s="37"/>
      <c r="G697" s="37"/>
      <c r="H697" s="37"/>
      <c r="I697" s="35"/>
      <c r="J697">
        <f>IF(D697="x",5,0)</f>
        <v>0</v>
      </c>
      <c r="K697">
        <f>IF(E697="x",4,0)</f>
        <v>0</v>
      </c>
      <c r="L697">
        <f>IF(F697="x",3,0)</f>
        <v>0</v>
      </c>
      <c r="M697">
        <f>IF(G697="x",2,0)</f>
        <v>0</v>
      </c>
      <c r="N697">
        <f>IF(H697="x",1,0)</f>
        <v>0</v>
      </c>
      <c r="O697" s="3" t="str">
        <f>IF(Q697="",SUM(J697:N697),"falso")</f>
        <v>falso</v>
      </c>
      <c r="P697">
        <f>COUNTIF(D697:H697,"x")</f>
        <v>0</v>
      </c>
      <c r="Q697" s="38" t="str">
        <f>IF(P697&lt;1,"error",IF(P697&gt;1,"error",""))</f>
        <v>error</v>
      </c>
      <c r="R697" s="38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4"/>
    </row>
    <row r="698" spans="2:122" ht="15.75" thickBot="1" x14ac:dyDescent="0.3">
      <c r="B698" s="1"/>
      <c r="C698" s="39"/>
      <c r="D698" s="40">
        <v>5</v>
      </c>
      <c r="E698" s="40">
        <v>4</v>
      </c>
      <c r="F698" s="40">
        <v>3</v>
      </c>
      <c r="G698" s="40">
        <v>2</v>
      </c>
      <c r="H698" s="40">
        <v>1</v>
      </c>
      <c r="I698" s="41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4"/>
    </row>
    <row r="699" spans="2:122" ht="15.75" thickBot="1" x14ac:dyDescent="0.3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4"/>
    </row>
    <row r="700" spans="2:122" x14ac:dyDescent="0.25">
      <c r="B700" s="1"/>
      <c r="C700" s="31" t="s">
        <v>269</v>
      </c>
      <c r="D700" s="43" t="s">
        <v>270</v>
      </c>
      <c r="E700" s="44"/>
      <c r="F700" s="44"/>
      <c r="G700" s="44"/>
      <c r="H700" s="44"/>
      <c r="I700" s="45"/>
      <c r="J700" s="3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4"/>
    </row>
    <row r="701" spans="2:122" x14ac:dyDescent="0.25">
      <c r="B701" s="1"/>
      <c r="C701" s="33"/>
      <c r="D701" s="34"/>
      <c r="E701" s="34"/>
      <c r="F701" s="34"/>
      <c r="G701" s="34"/>
      <c r="H701" s="34"/>
      <c r="I701" s="3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4"/>
    </row>
    <row r="702" spans="2:122" ht="26.25" x14ac:dyDescent="0.25">
      <c r="B702" s="1"/>
      <c r="C702" s="33"/>
      <c r="D702" s="36" t="s">
        <v>42</v>
      </c>
      <c r="E702" s="36" t="s">
        <v>43</v>
      </c>
      <c r="F702" s="36" t="s">
        <v>44</v>
      </c>
      <c r="G702" s="36" t="s">
        <v>45</v>
      </c>
      <c r="H702" s="36" t="s">
        <v>46</v>
      </c>
      <c r="I702" s="3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4"/>
    </row>
    <row r="703" spans="2:122" x14ac:dyDescent="0.25">
      <c r="B703" s="1"/>
      <c r="C703" s="33"/>
      <c r="D703" s="37"/>
      <c r="E703" s="37"/>
      <c r="F703" s="37"/>
      <c r="G703" s="37"/>
      <c r="H703" s="37"/>
      <c r="I703" s="35"/>
      <c r="J703">
        <f>IF(D703="x",5,0)</f>
        <v>0</v>
      </c>
      <c r="K703">
        <f>IF(E703="x",4,0)</f>
        <v>0</v>
      </c>
      <c r="L703">
        <f>IF(F703="x",3,0)</f>
        <v>0</v>
      </c>
      <c r="M703">
        <f>IF(G703="x",2,0)</f>
        <v>0</v>
      </c>
      <c r="N703">
        <f>IF(H703="x",1,0)</f>
        <v>0</v>
      </c>
      <c r="O703" s="3" t="str">
        <f>IF(Q703="",SUM(J703:N703),"falso")</f>
        <v>falso</v>
      </c>
      <c r="P703">
        <f>COUNTIF(D703:H703,"x")</f>
        <v>0</v>
      </c>
      <c r="Q703" s="38" t="str">
        <f>IF(P703&lt;1,"error",IF(P703&gt;1,"error",""))</f>
        <v>error</v>
      </c>
      <c r="R703" s="38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4"/>
    </row>
    <row r="704" spans="2:122" ht="15.75" thickBot="1" x14ac:dyDescent="0.3">
      <c r="B704" s="1"/>
      <c r="C704" s="39"/>
      <c r="D704" s="40">
        <v>5</v>
      </c>
      <c r="E704" s="40">
        <v>4</v>
      </c>
      <c r="F704" s="40">
        <v>3</v>
      </c>
      <c r="G704" s="40">
        <v>2</v>
      </c>
      <c r="H704" s="40">
        <v>1</v>
      </c>
      <c r="I704" s="41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4"/>
    </row>
    <row r="705" spans="2:122" ht="15.75" thickBot="1" x14ac:dyDescent="0.3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4"/>
    </row>
    <row r="706" spans="2:122" x14ac:dyDescent="0.25">
      <c r="B706" s="1"/>
      <c r="C706" s="31" t="s">
        <v>271</v>
      </c>
      <c r="D706" s="43" t="s">
        <v>272</v>
      </c>
      <c r="E706" s="44"/>
      <c r="F706" s="44"/>
      <c r="G706" s="44"/>
      <c r="H706" s="44"/>
      <c r="I706" s="45"/>
      <c r="J706" s="3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4"/>
    </row>
    <row r="707" spans="2:122" x14ac:dyDescent="0.25">
      <c r="B707" s="1"/>
      <c r="C707" s="33"/>
      <c r="D707" s="34"/>
      <c r="E707" s="34"/>
      <c r="F707" s="34"/>
      <c r="G707" s="34"/>
      <c r="H707" s="34"/>
      <c r="I707" s="3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4"/>
    </row>
    <row r="708" spans="2:122" ht="26.25" x14ac:dyDescent="0.25">
      <c r="B708" s="1"/>
      <c r="C708" s="33"/>
      <c r="D708" s="36" t="s">
        <v>42</v>
      </c>
      <c r="E708" s="36" t="s">
        <v>43</v>
      </c>
      <c r="F708" s="36" t="s">
        <v>44</v>
      </c>
      <c r="G708" s="36" t="s">
        <v>45</v>
      </c>
      <c r="H708" s="36" t="s">
        <v>46</v>
      </c>
      <c r="I708" s="3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4"/>
    </row>
    <row r="709" spans="2:122" x14ac:dyDescent="0.25">
      <c r="B709" s="1"/>
      <c r="C709" s="33"/>
      <c r="D709" s="37"/>
      <c r="E709" s="37"/>
      <c r="F709" s="37"/>
      <c r="G709" s="37"/>
      <c r="H709" s="37"/>
      <c r="I709" s="35"/>
      <c r="J709">
        <f>IF(D709="x",5,0)</f>
        <v>0</v>
      </c>
      <c r="K709">
        <f>IF(E709="x",4,0)</f>
        <v>0</v>
      </c>
      <c r="L709">
        <f>IF(F709="x",3,0)</f>
        <v>0</v>
      </c>
      <c r="M709">
        <f>IF(G709="x",2,0)</f>
        <v>0</v>
      </c>
      <c r="N709">
        <f>IF(H709="x",1,0)</f>
        <v>0</v>
      </c>
      <c r="O709" s="3" t="str">
        <f>IF(Q709="",SUM(J709:N709),"falso")</f>
        <v>falso</v>
      </c>
      <c r="P709">
        <f>COUNTIF(D709:H709,"x")</f>
        <v>0</v>
      </c>
      <c r="Q709" s="38" t="str">
        <f>IF(P709&lt;1,"error",IF(P709&gt;1,"error",""))</f>
        <v>error</v>
      </c>
      <c r="R709" s="38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4"/>
    </row>
    <row r="710" spans="2:122" ht="15.75" thickBot="1" x14ac:dyDescent="0.3">
      <c r="B710" s="1"/>
      <c r="C710" s="39"/>
      <c r="D710" s="40">
        <v>5</v>
      </c>
      <c r="E710" s="40">
        <v>4</v>
      </c>
      <c r="F710" s="40">
        <v>3</v>
      </c>
      <c r="G710" s="40">
        <v>2</v>
      </c>
      <c r="H710" s="40">
        <v>1</v>
      </c>
      <c r="I710" s="41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4"/>
    </row>
    <row r="711" spans="2:122" ht="15.75" thickBot="1" x14ac:dyDescent="0.3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4"/>
    </row>
    <row r="712" spans="2:122" x14ac:dyDescent="0.25">
      <c r="B712" s="1"/>
      <c r="C712" s="31" t="s">
        <v>273</v>
      </c>
      <c r="D712" s="43" t="s">
        <v>274</v>
      </c>
      <c r="E712" s="44"/>
      <c r="F712" s="44"/>
      <c r="G712" s="44"/>
      <c r="H712" s="44"/>
      <c r="I712" s="45"/>
      <c r="J712" s="3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4"/>
    </row>
    <row r="713" spans="2:122" x14ac:dyDescent="0.25">
      <c r="B713" s="1"/>
      <c r="C713" s="33"/>
      <c r="D713" s="34"/>
      <c r="E713" s="34"/>
      <c r="F713" s="34"/>
      <c r="G713" s="34"/>
      <c r="H713" s="34"/>
      <c r="I713" s="3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4"/>
    </row>
    <row r="714" spans="2:122" ht="26.25" x14ac:dyDescent="0.25">
      <c r="B714" s="1"/>
      <c r="C714" s="33"/>
      <c r="D714" s="36" t="s">
        <v>42</v>
      </c>
      <c r="E714" s="36" t="s">
        <v>43</v>
      </c>
      <c r="F714" s="36" t="s">
        <v>44</v>
      </c>
      <c r="G714" s="36" t="s">
        <v>45</v>
      </c>
      <c r="H714" s="36" t="s">
        <v>46</v>
      </c>
      <c r="I714" s="3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4"/>
    </row>
    <row r="715" spans="2:122" x14ac:dyDescent="0.25">
      <c r="B715" s="1"/>
      <c r="C715" s="33"/>
      <c r="D715" s="37"/>
      <c r="E715" s="37"/>
      <c r="F715" s="37"/>
      <c r="G715" s="37"/>
      <c r="H715" s="37"/>
      <c r="I715" s="35"/>
      <c r="J715">
        <f>IF(D715="x",5,0)</f>
        <v>0</v>
      </c>
      <c r="K715">
        <f>IF(E715="x",4,0)</f>
        <v>0</v>
      </c>
      <c r="L715">
        <f>IF(F715="x",3,0)</f>
        <v>0</v>
      </c>
      <c r="M715">
        <f>IF(G715="x",2,0)</f>
        <v>0</v>
      </c>
      <c r="N715">
        <f>IF(H715="x",1,0)</f>
        <v>0</v>
      </c>
      <c r="O715" s="3" t="str">
        <f>IF(Q715="",SUM(J715:N715),"falso")</f>
        <v>falso</v>
      </c>
      <c r="P715">
        <f>COUNTIF(D715:H715,"x")</f>
        <v>0</v>
      </c>
      <c r="Q715" s="38" t="str">
        <f>IF(P715&lt;1,"error",IF(P715&gt;1,"error",""))</f>
        <v>error</v>
      </c>
      <c r="R715" s="38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4"/>
    </row>
    <row r="716" spans="2:122" ht="15.75" thickBot="1" x14ac:dyDescent="0.3">
      <c r="B716" s="1"/>
      <c r="C716" s="39"/>
      <c r="D716" s="40">
        <v>5</v>
      </c>
      <c r="E716" s="40">
        <v>4</v>
      </c>
      <c r="F716" s="40">
        <v>3</v>
      </c>
      <c r="G716" s="40">
        <v>2</v>
      </c>
      <c r="H716" s="40">
        <v>1</v>
      </c>
      <c r="I716" s="41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4"/>
    </row>
    <row r="717" spans="2:122" ht="15.75" thickBot="1" x14ac:dyDescent="0.3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4"/>
    </row>
    <row r="718" spans="2:122" x14ac:dyDescent="0.25">
      <c r="B718" s="1"/>
      <c r="C718" s="31" t="s">
        <v>275</v>
      </c>
      <c r="D718" s="43" t="s">
        <v>276</v>
      </c>
      <c r="E718" s="44"/>
      <c r="F718" s="44"/>
      <c r="G718" s="44"/>
      <c r="H718" s="44"/>
      <c r="I718" s="45"/>
      <c r="J718" s="3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4"/>
    </row>
    <row r="719" spans="2:122" x14ac:dyDescent="0.25">
      <c r="B719" s="1"/>
      <c r="C719" s="33"/>
      <c r="D719" s="34"/>
      <c r="E719" s="34"/>
      <c r="F719" s="34"/>
      <c r="G719" s="34"/>
      <c r="H719" s="34"/>
      <c r="I719" s="3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4"/>
    </row>
    <row r="720" spans="2:122" ht="26.25" x14ac:dyDescent="0.25">
      <c r="B720" s="1"/>
      <c r="C720" s="33"/>
      <c r="D720" s="36" t="s">
        <v>42</v>
      </c>
      <c r="E720" s="36" t="s">
        <v>43</v>
      </c>
      <c r="F720" s="36" t="s">
        <v>44</v>
      </c>
      <c r="G720" s="36" t="s">
        <v>45</v>
      </c>
      <c r="H720" s="36" t="s">
        <v>46</v>
      </c>
      <c r="I720" s="3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4"/>
    </row>
    <row r="721" spans="2:122" x14ac:dyDescent="0.25">
      <c r="B721" s="1"/>
      <c r="C721" s="33"/>
      <c r="D721" s="37"/>
      <c r="E721" s="37"/>
      <c r="F721" s="37"/>
      <c r="G721" s="37"/>
      <c r="H721" s="37"/>
      <c r="I721" s="35"/>
      <c r="J721">
        <f>IF(D721="x",5,0)</f>
        <v>0</v>
      </c>
      <c r="K721">
        <f>IF(E721="x",4,0)</f>
        <v>0</v>
      </c>
      <c r="L721">
        <f>IF(F721="x",3,0)</f>
        <v>0</v>
      </c>
      <c r="M721">
        <f>IF(G721="x",2,0)</f>
        <v>0</v>
      </c>
      <c r="N721">
        <f>IF(H721="x",1,0)</f>
        <v>0</v>
      </c>
      <c r="O721" s="3" t="str">
        <f>IF(Q721="",SUM(J721:N721),"falso")</f>
        <v>falso</v>
      </c>
      <c r="P721">
        <f>COUNTIF(D721:H721,"x")</f>
        <v>0</v>
      </c>
      <c r="Q721" s="38" t="str">
        <f>IF(P721&lt;1,"error",IF(P721&gt;1,"error",""))</f>
        <v>error</v>
      </c>
      <c r="R721" s="38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4"/>
    </row>
    <row r="722" spans="2:122" ht="15.75" thickBot="1" x14ac:dyDescent="0.3">
      <c r="B722" s="1"/>
      <c r="C722" s="39"/>
      <c r="D722" s="40">
        <v>5</v>
      </c>
      <c r="E722" s="40">
        <v>4</v>
      </c>
      <c r="F722" s="40">
        <v>3</v>
      </c>
      <c r="G722" s="40">
        <v>2</v>
      </c>
      <c r="H722" s="40">
        <v>1</v>
      </c>
      <c r="I722" s="41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4"/>
    </row>
    <row r="723" spans="2:122" ht="15.75" thickBot="1" x14ac:dyDescent="0.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4"/>
    </row>
    <row r="724" spans="2:122" x14ac:dyDescent="0.25">
      <c r="B724" s="1"/>
      <c r="C724" s="31" t="s">
        <v>277</v>
      </c>
      <c r="D724" s="43" t="s">
        <v>278</v>
      </c>
      <c r="E724" s="44"/>
      <c r="F724" s="44"/>
      <c r="G724" s="44"/>
      <c r="H724" s="44"/>
      <c r="I724" s="45"/>
      <c r="J724" s="3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4"/>
    </row>
    <row r="725" spans="2:122" x14ac:dyDescent="0.25">
      <c r="B725" s="1"/>
      <c r="C725" s="33"/>
      <c r="D725" s="34"/>
      <c r="E725" s="34"/>
      <c r="F725" s="34"/>
      <c r="G725" s="34"/>
      <c r="H725" s="34"/>
      <c r="I725" s="3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4"/>
    </row>
    <row r="726" spans="2:122" ht="26.25" x14ac:dyDescent="0.25">
      <c r="B726" s="1"/>
      <c r="C726" s="33"/>
      <c r="D726" s="36" t="s">
        <v>42</v>
      </c>
      <c r="E726" s="36" t="s">
        <v>43</v>
      </c>
      <c r="F726" s="36" t="s">
        <v>44</v>
      </c>
      <c r="G726" s="36" t="s">
        <v>45</v>
      </c>
      <c r="H726" s="36" t="s">
        <v>46</v>
      </c>
      <c r="I726" s="3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4"/>
    </row>
    <row r="727" spans="2:122" x14ac:dyDescent="0.25">
      <c r="B727" s="1"/>
      <c r="C727" s="33"/>
      <c r="D727" s="37"/>
      <c r="E727" s="37"/>
      <c r="F727" s="37"/>
      <c r="G727" s="37"/>
      <c r="H727" s="37"/>
      <c r="I727" s="35"/>
      <c r="J727">
        <f>IF(D727="x",5,0)</f>
        <v>0</v>
      </c>
      <c r="K727">
        <f>IF(E727="x",4,0)</f>
        <v>0</v>
      </c>
      <c r="L727">
        <f>IF(F727="x",3,0)</f>
        <v>0</v>
      </c>
      <c r="M727">
        <f>IF(G727="x",2,0)</f>
        <v>0</v>
      </c>
      <c r="N727">
        <f>IF(H727="x",1,0)</f>
        <v>0</v>
      </c>
      <c r="O727" s="3" t="str">
        <f>IF(Q727="",SUM(J727:N727),"falso")</f>
        <v>falso</v>
      </c>
      <c r="P727">
        <f>COUNTIF(D727:H727,"x")</f>
        <v>0</v>
      </c>
      <c r="Q727" s="38" t="str">
        <f>IF(P727&lt;1,"error",IF(P727&gt;1,"error",""))</f>
        <v>error</v>
      </c>
      <c r="R727" s="38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4"/>
    </row>
    <row r="728" spans="2:122" ht="15.75" thickBot="1" x14ac:dyDescent="0.3">
      <c r="B728" s="1"/>
      <c r="C728" s="39"/>
      <c r="D728" s="40">
        <v>5</v>
      </c>
      <c r="E728" s="40">
        <v>4</v>
      </c>
      <c r="F728" s="40">
        <v>3</v>
      </c>
      <c r="G728" s="40">
        <v>2</v>
      </c>
      <c r="H728" s="40">
        <v>1</v>
      </c>
      <c r="I728" s="41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4"/>
    </row>
    <row r="729" spans="2:122" ht="15.75" thickBot="1" x14ac:dyDescent="0.3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4"/>
    </row>
    <row r="730" spans="2:122" x14ac:dyDescent="0.25">
      <c r="B730" s="1"/>
      <c r="C730" s="31" t="s">
        <v>279</v>
      </c>
      <c r="D730" s="43" t="s">
        <v>280</v>
      </c>
      <c r="E730" s="44"/>
      <c r="F730" s="44"/>
      <c r="G730" s="44"/>
      <c r="H730" s="44"/>
      <c r="I730" s="45"/>
      <c r="J730" s="3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4"/>
    </row>
    <row r="731" spans="2:122" x14ac:dyDescent="0.25">
      <c r="B731" s="1"/>
      <c r="C731" s="33"/>
      <c r="D731" s="34"/>
      <c r="E731" s="34"/>
      <c r="F731" s="34"/>
      <c r="G731" s="34"/>
      <c r="H731" s="34"/>
      <c r="I731" s="3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4"/>
    </row>
    <row r="732" spans="2:122" ht="26.25" x14ac:dyDescent="0.25">
      <c r="B732" s="1"/>
      <c r="C732" s="33"/>
      <c r="D732" s="36" t="s">
        <v>42</v>
      </c>
      <c r="E732" s="36" t="s">
        <v>43</v>
      </c>
      <c r="F732" s="36" t="s">
        <v>44</v>
      </c>
      <c r="G732" s="36" t="s">
        <v>45</v>
      </c>
      <c r="H732" s="36" t="s">
        <v>46</v>
      </c>
      <c r="I732" s="3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4"/>
    </row>
    <row r="733" spans="2:122" x14ac:dyDescent="0.25">
      <c r="B733" s="1"/>
      <c r="C733" s="33"/>
      <c r="D733" s="37"/>
      <c r="E733" s="37"/>
      <c r="F733" s="37"/>
      <c r="G733" s="37"/>
      <c r="H733" s="37"/>
      <c r="I733" s="35"/>
      <c r="J733">
        <f>IF(D733="x",5,0)</f>
        <v>0</v>
      </c>
      <c r="K733">
        <f>IF(E733="x",4,0)</f>
        <v>0</v>
      </c>
      <c r="L733">
        <f>IF(F733="x",3,0)</f>
        <v>0</v>
      </c>
      <c r="M733">
        <f>IF(G733="x",2,0)</f>
        <v>0</v>
      </c>
      <c r="N733">
        <f>IF(H733="x",1,0)</f>
        <v>0</v>
      </c>
      <c r="O733" s="3" t="str">
        <f>IF(Q733="",SUM(J733:N733),"falso")</f>
        <v>falso</v>
      </c>
      <c r="P733">
        <f>COUNTIF(D733:H733,"x")</f>
        <v>0</v>
      </c>
      <c r="Q733" s="38" t="str">
        <f>IF(P733&lt;1,"error",IF(P733&gt;1,"error",""))</f>
        <v>error</v>
      </c>
      <c r="R733" s="38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4"/>
    </row>
    <row r="734" spans="2:122" ht="15.75" thickBot="1" x14ac:dyDescent="0.3">
      <c r="B734" s="1"/>
      <c r="C734" s="39"/>
      <c r="D734" s="40">
        <v>5</v>
      </c>
      <c r="E734" s="40">
        <v>4</v>
      </c>
      <c r="F734" s="40">
        <v>3</v>
      </c>
      <c r="G734" s="40">
        <v>2</v>
      </c>
      <c r="H734" s="40">
        <v>1</v>
      </c>
      <c r="I734" s="41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4"/>
    </row>
    <row r="735" spans="2:122" ht="15.75" thickBot="1" x14ac:dyDescent="0.3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4"/>
    </row>
    <row r="736" spans="2:122" x14ac:dyDescent="0.25">
      <c r="B736" s="1"/>
      <c r="C736" s="31" t="s">
        <v>281</v>
      </c>
      <c r="D736" s="43" t="s">
        <v>282</v>
      </c>
      <c r="E736" s="44"/>
      <c r="F736" s="44"/>
      <c r="G736" s="44"/>
      <c r="H736" s="44"/>
      <c r="I736" s="45"/>
      <c r="J736" s="3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4"/>
    </row>
    <row r="737" spans="2:122" x14ac:dyDescent="0.25">
      <c r="B737" s="1"/>
      <c r="C737" s="33"/>
      <c r="D737" s="34"/>
      <c r="E737" s="34"/>
      <c r="F737" s="34"/>
      <c r="G737" s="34"/>
      <c r="H737" s="34"/>
      <c r="I737" s="3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4"/>
    </row>
    <row r="738" spans="2:122" ht="26.25" x14ac:dyDescent="0.25">
      <c r="B738" s="1"/>
      <c r="C738" s="33"/>
      <c r="D738" s="36" t="s">
        <v>42</v>
      </c>
      <c r="E738" s="36" t="s">
        <v>43</v>
      </c>
      <c r="F738" s="36" t="s">
        <v>44</v>
      </c>
      <c r="G738" s="36" t="s">
        <v>45</v>
      </c>
      <c r="H738" s="36" t="s">
        <v>46</v>
      </c>
      <c r="I738" s="3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4"/>
    </row>
    <row r="739" spans="2:122" x14ac:dyDescent="0.25">
      <c r="B739" s="1"/>
      <c r="C739" s="33"/>
      <c r="D739" s="37"/>
      <c r="E739" s="37"/>
      <c r="F739" s="37"/>
      <c r="G739" s="37"/>
      <c r="H739" s="37"/>
      <c r="I739" s="35"/>
      <c r="J739">
        <f>IF(D739="x",5,0)</f>
        <v>0</v>
      </c>
      <c r="K739">
        <f>IF(E739="x",4,0)</f>
        <v>0</v>
      </c>
      <c r="L739">
        <f>IF(F739="x",3,0)</f>
        <v>0</v>
      </c>
      <c r="M739">
        <f>IF(G739="x",2,0)</f>
        <v>0</v>
      </c>
      <c r="N739">
        <f>IF(H739="x",1,0)</f>
        <v>0</v>
      </c>
      <c r="O739" s="3" t="str">
        <f>IF(Q739="",SUM(J739:N739),"falso")</f>
        <v>falso</v>
      </c>
      <c r="P739">
        <f>COUNTIF(D739:H739,"x")</f>
        <v>0</v>
      </c>
      <c r="Q739" s="38" t="str">
        <f>IF(P739&lt;1,"error",IF(P739&gt;1,"error",""))</f>
        <v>error</v>
      </c>
      <c r="R739" s="38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4"/>
    </row>
    <row r="740" spans="2:122" ht="15.75" thickBot="1" x14ac:dyDescent="0.3">
      <c r="B740" s="1"/>
      <c r="C740" s="39"/>
      <c r="D740" s="40">
        <v>5</v>
      </c>
      <c r="E740" s="40">
        <v>4</v>
      </c>
      <c r="F740" s="40">
        <v>3</v>
      </c>
      <c r="G740" s="40">
        <v>2</v>
      </c>
      <c r="H740" s="40">
        <v>1</v>
      </c>
      <c r="I740" s="41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4"/>
    </row>
    <row r="741" spans="2:122" ht="15.75" thickBot="1" x14ac:dyDescent="0.3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4"/>
    </row>
    <row r="742" spans="2:122" x14ac:dyDescent="0.25">
      <c r="B742" s="1"/>
      <c r="C742" s="31" t="s">
        <v>283</v>
      </c>
      <c r="D742" s="43" t="s">
        <v>284</v>
      </c>
      <c r="E742" s="44"/>
      <c r="F742" s="44"/>
      <c r="G742" s="44"/>
      <c r="H742" s="44"/>
      <c r="I742" s="45"/>
      <c r="J742" s="3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4"/>
    </row>
    <row r="743" spans="2:122" x14ac:dyDescent="0.25">
      <c r="B743" s="1"/>
      <c r="C743" s="33"/>
      <c r="D743" s="34"/>
      <c r="E743" s="34"/>
      <c r="F743" s="34"/>
      <c r="G743" s="34"/>
      <c r="H743" s="34"/>
      <c r="I743" s="3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4"/>
    </row>
    <row r="744" spans="2:122" ht="26.25" x14ac:dyDescent="0.25">
      <c r="B744" s="1"/>
      <c r="C744" s="33"/>
      <c r="D744" s="36" t="s">
        <v>42</v>
      </c>
      <c r="E744" s="36" t="s">
        <v>43</v>
      </c>
      <c r="F744" s="36" t="s">
        <v>44</v>
      </c>
      <c r="G744" s="36" t="s">
        <v>45</v>
      </c>
      <c r="H744" s="36" t="s">
        <v>46</v>
      </c>
      <c r="I744" s="3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4"/>
    </row>
    <row r="745" spans="2:122" x14ac:dyDescent="0.25">
      <c r="B745" s="1"/>
      <c r="C745" s="33"/>
      <c r="D745" s="37"/>
      <c r="E745" s="37"/>
      <c r="F745" s="37"/>
      <c r="G745" s="37"/>
      <c r="H745" s="37"/>
      <c r="I745" s="35"/>
      <c r="J745">
        <f>IF(D745="x",5,0)</f>
        <v>0</v>
      </c>
      <c r="K745">
        <f>IF(E745="x",4,0)</f>
        <v>0</v>
      </c>
      <c r="L745">
        <f>IF(F745="x",3,0)</f>
        <v>0</v>
      </c>
      <c r="M745">
        <f>IF(G745="x",2,0)</f>
        <v>0</v>
      </c>
      <c r="N745">
        <f>IF(H745="x",1,0)</f>
        <v>0</v>
      </c>
      <c r="O745" s="3" t="str">
        <f>IF(Q745="",SUM(J745:N745),"falso")</f>
        <v>falso</v>
      </c>
      <c r="P745">
        <f>COUNTIF(D745:H745,"x")</f>
        <v>0</v>
      </c>
      <c r="Q745" s="38" t="str">
        <f>IF(P745&lt;1,"error",IF(P745&gt;1,"error",""))</f>
        <v>error</v>
      </c>
      <c r="R745" s="38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4"/>
    </row>
    <row r="746" spans="2:122" ht="15.75" thickBot="1" x14ac:dyDescent="0.3">
      <c r="B746" s="1"/>
      <c r="C746" s="39"/>
      <c r="D746" s="40">
        <v>5</v>
      </c>
      <c r="E746" s="40">
        <v>4</v>
      </c>
      <c r="F746" s="40">
        <v>3</v>
      </c>
      <c r="G746" s="40">
        <v>2</v>
      </c>
      <c r="H746" s="40">
        <v>1</v>
      </c>
      <c r="I746" s="41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4"/>
    </row>
    <row r="747" spans="2:122" ht="15.75" thickBot="1" x14ac:dyDescent="0.3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4"/>
    </row>
    <row r="748" spans="2:122" x14ac:dyDescent="0.25">
      <c r="B748" s="1"/>
      <c r="C748" s="31" t="s">
        <v>285</v>
      </c>
      <c r="D748" s="43" t="s">
        <v>286</v>
      </c>
      <c r="E748" s="44"/>
      <c r="F748" s="44"/>
      <c r="G748" s="44"/>
      <c r="H748" s="44"/>
      <c r="I748" s="45"/>
      <c r="J748" s="3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4"/>
    </row>
    <row r="749" spans="2:122" x14ac:dyDescent="0.25">
      <c r="B749" s="1"/>
      <c r="C749" s="33"/>
      <c r="D749" s="34"/>
      <c r="E749" s="34"/>
      <c r="F749" s="34"/>
      <c r="G749" s="34"/>
      <c r="H749" s="34"/>
      <c r="I749" s="3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4"/>
    </row>
    <row r="750" spans="2:122" ht="26.25" x14ac:dyDescent="0.25">
      <c r="B750" s="1"/>
      <c r="C750" s="33"/>
      <c r="D750" s="36" t="s">
        <v>42</v>
      </c>
      <c r="E750" s="36" t="s">
        <v>43</v>
      </c>
      <c r="F750" s="36" t="s">
        <v>44</v>
      </c>
      <c r="G750" s="36" t="s">
        <v>45</v>
      </c>
      <c r="H750" s="36" t="s">
        <v>46</v>
      </c>
      <c r="I750" s="3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4"/>
    </row>
    <row r="751" spans="2:122" x14ac:dyDescent="0.25">
      <c r="B751" s="1"/>
      <c r="C751" s="33"/>
      <c r="D751" s="37"/>
      <c r="E751" s="37"/>
      <c r="F751" s="37"/>
      <c r="G751" s="37"/>
      <c r="H751" s="37"/>
      <c r="I751" s="35"/>
      <c r="J751">
        <f>IF(D751="x",5,0)</f>
        <v>0</v>
      </c>
      <c r="K751">
        <f>IF(E751="x",4,0)</f>
        <v>0</v>
      </c>
      <c r="L751">
        <f>IF(F751="x",3,0)</f>
        <v>0</v>
      </c>
      <c r="M751">
        <f>IF(G751="x",2,0)</f>
        <v>0</v>
      </c>
      <c r="N751">
        <f>IF(H751="x",1,0)</f>
        <v>0</v>
      </c>
      <c r="O751" s="3" t="str">
        <f>IF(Q751="",SUM(J751:N751),"falso")</f>
        <v>falso</v>
      </c>
      <c r="P751">
        <f>COUNTIF(D751:H751,"x")</f>
        <v>0</v>
      </c>
      <c r="Q751" s="38" t="str">
        <f>IF(P751&lt;1,"error",IF(P751&gt;1,"error",""))</f>
        <v>error</v>
      </c>
      <c r="R751" s="38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4"/>
    </row>
    <row r="752" spans="2:122" ht="15.75" thickBot="1" x14ac:dyDescent="0.3">
      <c r="B752" s="1"/>
      <c r="C752" s="39"/>
      <c r="D752" s="40">
        <v>5</v>
      </c>
      <c r="E752" s="40">
        <v>4</v>
      </c>
      <c r="F752" s="40">
        <v>3</v>
      </c>
      <c r="G752" s="40">
        <v>2</v>
      </c>
      <c r="H752" s="40">
        <v>1</v>
      </c>
      <c r="I752" s="41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4"/>
    </row>
    <row r="753" spans="2:122" ht="15.75" thickBot="1" x14ac:dyDescent="0.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4"/>
    </row>
    <row r="754" spans="2:122" x14ac:dyDescent="0.25">
      <c r="B754" s="1"/>
      <c r="C754" s="31" t="s">
        <v>287</v>
      </c>
      <c r="D754" s="43" t="s">
        <v>288</v>
      </c>
      <c r="E754" s="44"/>
      <c r="F754" s="44"/>
      <c r="G754" s="44"/>
      <c r="H754" s="44"/>
      <c r="I754" s="45"/>
      <c r="J754" s="3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4"/>
    </row>
    <row r="755" spans="2:122" x14ac:dyDescent="0.25">
      <c r="B755" s="1"/>
      <c r="C755" s="33"/>
      <c r="D755" s="34"/>
      <c r="E755" s="34"/>
      <c r="F755" s="34"/>
      <c r="G755" s="34"/>
      <c r="H755" s="34"/>
      <c r="I755" s="3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4"/>
    </row>
    <row r="756" spans="2:122" ht="26.25" x14ac:dyDescent="0.25">
      <c r="B756" s="1"/>
      <c r="C756" s="33"/>
      <c r="D756" s="36" t="s">
        <v>42</v>
      </c>
      <c r="E756" s="36" t="s">
        <v>43</v>
      </c>
      <c r="F756" s="36" t="s">
        <v>44</v>
      </c>
      <c r="G756" s="36" t="s">
        <v>45</v>
      </c>
      <c r="H756" s="36" t="s">
        <v>46</v>
      </c>
      <c r="I756" s="3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4"/>
    </row>
    <row r="757" spans="2:122" x14ac:dyDescent="0.25">
      <c r="B757" s="1"/>
      <c r="C757" s="33"/>
      <c r="D757" s="37"/>
      <c r="E757" s="37"/>
      <c r="F757" s="37"/>
      <c r="G757" s="37"/>
      <c r="H757" s="37"/>
      <c r="I757" s="35"/>
      <c r="J757">
        <f>IF(D757="x",5,0)</f>
        <v>0</v>
      </c>
      <c r="K757">
        <f>IF(E757="x",4,0)</f>
        <v>0</v>
      </c>
      <c r="L757">
        <f>IF(F757="x",3,0)</f>
        <v>0</v>
      </c>
      <c r="M757">
        <f>IF(G757="x",2,0)</f>
        <v>0</v>
      </c>
      <c r="N757">
        <f>IF(H757="x",1,0)</f>
        <v>0</v>
      </c>
      <c r="O757" s="3" t="str">
        <f>IF(Q757="",SUM(J757:N757),"falso")</f>
        <v>falso</v>
      </c>
      <c r="P757">
        <f>COUNTIF(D757:H757,"x")</f>
        <v>0</v>
      </c>
      <c r="Q757" s="38" t="str">
        <f>IF(P757&lt;1,"error",IF(P757&gt;1,"error",""))</f>
        <v>error</v>
      </c>
      <c r="R757" s="38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4"/>
    </row>
    <row r="758" spans="2:122" ht="15.75" thickBot="1" x14ac:dyDescent="0.3">
      <c r="B758" s="1"/>
      <c r="C758" s="39"/>
      <c r="D758" s="40">
        <v>5</v>
      </c>
      <c r="E758" s="40">
        <v>4</v>
      </c>
      <c r="F758" s="40">
        <v>3</v>
      </c>
      <c r="G758" s="40">
        <v>2</v>
      </c>
      <c r="H758" s="40">
        <v>1</v>
      </c>
      <c r="I758" s="41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4"/>
    </row>
    <row r="759" spans="2:122" ht="15.75" thickBot="1" x14ac:dyDescent="0.3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4"/>
    </row>
    <row r="760" spans="2:122" x14ac:dyDescent="0.25">
      <c r="B760" s="1"/>
      <c r="C760" s="31" t="s">
        <v>289</v>
      </c>
      <c r="D760" s="43" t="s">
        <v>290</v>
      </c>
      <c r="E760" s="44"/>
      <c r="F760" s="44"/>
      <c r="G760" s="44"/>
      <c r="H760" s="44"/>
      <c r="I760" s="45"/>
      <c r="J760" s="3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4"/>
    </row>
    <row r="761" spans="2:122" x14ac:dyDescent="0.25">
      <c r="B761" s="1"/>
      <c r="C761" s="33"/>
      <c r="D761" s="34"/>
      <c r="E761" s="34"/>
      <c r="F761" s="34"/>
      <c r="G761" s="34"/>
      <c r="H761" s="34"/>
      <c r="I761" s="3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4"/>
    </row>
    <row r="762" spans="2:122" ht="26.25" x14ac:dyDescent="0.25">
      <c r="B762" s="1"/>
      <c r="C762" s="33"/>
      <c r="D762" s="36" t="s">
        <v>42</v>
      </c>
      <c r="E762" s="36" t="s">
        <v>43</v>
      </c>
      <c r="F762" s="36" t="s">
        <v>44</v>
      </c>
      <c r="G762" s="36" t="s">
        <v>45</v>
      </c>
      <c r="H762" s="36" t="s">
        <v>46</v>
      </c>
      <c r="I762" s="3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4"/>
    </row>
    <row r="763" spans="2:122" x14ac:dyDescent="0.25">
      <c r="B763" s="1"/>
      <c r="C763" s="33"/>
      <c r="D763" s="37"/>
      <c r="E763" s="37"/>
      <c r="F763" s="37"/>
      <c r="G763" s="37"/>
      <c r="H763" s="37"/>
      <c r="I763" s="35"/>
      <c r="J763">
        <f>IF(D763="x",5,0)</f>
        <v>0</v>
      </c>
      <c r="K763">
        <f>IF(E763="x",4,0)</f>
        <v>0</v>
      </c>
      <c r="L763">
        <f>IF(F763="x",3,0)</f>
        <v>0</v>
      </c>
      <c r="M763">
        <f>IF(G763="x",2,0)</f>
        <v>0</v>
      </c>
      <c r="N763">
        <f>IF(H763="x",1,0)</f>
        <v>0</v>
      </c>
      <c r="O763" s="3" t="str">
        <f>IF(Q763="",SUM(J763:N763),"falso")</f>
        <v>falso</v>
      </c>
      <c r="P763">
        <f>COUNTIF(D763:H763,"x")</f>
        <v>0</v>
      </c>
      <c r="Q763" s="38" t="str">
        <f>IF(P763&lt;1,"error",IF(P763&gt;1,"error",""))</f>
        <v>error</v>
      </c>
      <c r="R763" s="38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4"/>
    </row>
    <row r="764" spans="2:122" ht="15.75" thickBot="1" x14ac:dyDescent="0.3">
      <c r="B764" s="1"/>
      <c r="C764" s="39"/>
      <c r="D764" s="40">
        <v>5</v>
      </c>
      <c r="E764" s="40">
        <v>4</v>
      </c>
      <c r="F764" s="40">
        <v>3</v>
      </c>
      <c r="G764" s="40">
        <v>2</v>
      </c>
      <c r="H764" s="40">
        <v>1</v>
      </c>
      <c r="I764" s="41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4"/>
    </row>
    <row r="765" spans="2:122" ht="15.75" thickBot="1" x14ac:dyDescent="0.3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4"/>
    </row>
    <row r="766" spans="2:122" x14ac:dyDescent="0.25">
      <c r="B766" s="1"/>
      <c r="C766" s="31" t="s">
        <v>291</v>
      </c>
      <c r="D766" s="43" t="s">
        <v>292</v>
      </c>
      <c r="E766" s="44"/>
      <c r="F766" s="44"/>
      <c r="G766" s="44"/>
      <c r="H766" s="44"/>
      <c r="I766" s="45"/>
      <c r="J766" s="3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4"/>
    </row>
    <row r="767" spans="2:122" x14ac:dyDescent="0.25">
      <c r="B767" s="1"/>
      <c r="C767" s="33"/>
      <c r="D767" s="34"/>
      <c r="E767" s="34"/>
      <c r="F767" s="34"/>
      <c r="G767" s="34"/>
      <c r="H767" s="34"/>
      <c r="I767" s="3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4"/>
    </row>
    <row r="768" spans="2:122" ht="26.25" x14ac:dyDescent="0.25">
      <c r="B768" s="1"/>
      <c r="C768" s="33"/>
      <c r="D768" s="36" t="s">
        <v>42</v>
      </c>
      <c r="E768" s="36" t="s">
        <v>43</v>
      </c>
      <c r="F768" s="36" t="s">
        <v>44</v>
      </c>
      <c r="G768" s="36" t="s">
        <v>45</v>
      </c>
      <c r="H768" s="36" t="s">
        <v>46</v>
      </c>
      <c r="I768" s="3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4"/>
    </row>
    <row r="769" spans="2:122" x14ac:dyDescent="0.25">
      <c r="B769" s="1"/>
      <c r="C769" s="33"/>
      <c r="D769" s="37"/>
      <c r="E769" s="37"/>
      <c r="F769" s="37"/>
      <c r="G769" s="37"/>
      <c r="H769" s="37"/>
      <c r="I769" s="35"/>
      <c r="J769">
        <f>IF(D769="x",5,0)</f>
        <v>0</v>
      </c>
      <c r="K769">
        <f>IF(E769="x",4,0)</f>
        <v>0</v>
      </c>
      <c r="L769">
        <f>IF(F769="x",3,0)</f>
        <v>0</v>
      </c>
      <c r="M769">
        <f>IF(G769="x",2,0)</f>
        <v>0</v>
      </c>
      <c r="N769">
        <f>IF(H769="x",1,0)</f>
        <v>0</v>
      </c>
      <c r="O769" s="3" t="str">
        <f>IF(Q769="",SUM(J769:N769),"falso")</f>
        <v>falso</v>
      </c>
      <c r="P769">
        <f>COUNTIF(D769:H769,"x")</f>
        <v>0</v>
      </c>
      <c r="Q769" s="38" t="str">
        <f>IF(P769&lt;1,"error",IF(P769&gt;1,"error",""))</f>
        <v>error</v>
      </c>
      <c r="R769" s="38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4"/>
    </row>
    <row r="770" spans="2:122" ht="15.75" thickBot="1" x14ac:dyDescent="0.3">
      <c r="B770" s="1"/>
      <c r="C770" s="39"/>
      <c r="D770" s="40">
        <v>5</v>
      </c>
      <c r="E770" s="40">
        <v>4</v>
      </c>
      <c r="F770" s="40">
        <v>3</v>
      </c>
      <c r="G770" s="40">
        <v>2</v>
      </c>
      <c r="H770" s="40">
        <v>1</v>
      </c>
      <c r="I770" s="41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4"/>
    </row>
    <row r="771" spans="2:122" ht="15.75" thickBot="1" x14ac:dyDescent="0.3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4"/>
    </row>
    <row r="772" spans="2:122" x14ac:dyDescent="0.25">
      <c r="B772" s="1"/>
      <c r="C772" s="31" t="s">
        <v>293</v>
      </c>
      <c r="D772" s="43" t="s">
        <v>294</v>
      </c>
      <c r="E772" s="44"/>
      <c r="F772" s="44"/>
      <c r="G772" s="44"/>
      <c r="H772" s="44"/>
      <c r="I772" s="45"/>
      <c r="J772" s="3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4"/>
    </row>
    <row r="773" spans="2:122" x14ac:dyDescent="0.25">
      <c r="B773" s="1"/>
      <c r="C773" s="33"/>
      <c r="D773" s="34"/>
      <c r="E773" s="34"/>
      <c r="F773" s="34"/>
      <c r="G773" s="34"/>
      <c r="H773" s="34"/>
      <c r="I773" s="3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4"/>
    </row>
    <row r="774" spans="2:122" ht="26.25" x14ac:dyDescent="0.25">
      <c r="B774" s="1"/>
      <c r="C774" s="33"/>
      <c r="D774" s="36" t="s">
        <v>42</v>
      </c>
      <c r="E774" s="36" t="s">
        <v>43</v>
      </c>
      <c r="F774" s="36" t="s">
        <v>44</v>
      </c>
      <c r="G774" s="36" t="s">
        <v>45</v>
      </c>
      <c r="H774" s="36" t="s">
        <v>46</v>
      </c>
      <c r="I774" s="3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4"/>
    </row>
    <row r="775" spans="2:122" x14ac:dyDescent="0.25">
      <c r="B775" s="1"/>
      <c r="C775" s="33"/>
      <c r="D775" s="37"/>
      <c r="E775" s="37"/>
      <c r="F775" s="37"/>
      <c r="G775" s="37"/>
      <c r="H775" s="37"/>
      <c r="I775" s="35"/>
      <c r="J775">
        <f>IF(D775="x",5,0)</f>
        <v>0</v>
      </c>
      <c r="K775">
        <f>IF(E775="x",4,0)</f>
        <v>0</v>
      </c>
      <c r="L775">
        <f>IF(F775="x",3,0)</f>
        <v>0</v>
      </c>
      <c r="M775">
        <f>IF(G775="x",2,0)</f>
        <v>0</v>
      </c>
      <c r="N775">
        <f>IF(H775="x",1,0)</f>
        <v>0</v>
      </c>
      <c r="O775" s="3" t="str">
        <f>IF(Q775="",SUM(J775:N775),"falso")</f>
        <v>falso</v>
      </c>
      <c r="P775">
        <f>COUNTIF(D775:H775,"x")</f>
        <v>0</v>
      </c>
      <c r="Q775" s="38" t="str">
        <f>IF(P775&lt;1,"error",IF(P775&gt;1,"error",""))</f>
        <v>error</v>
      </c>
      <c r="R775" s="38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4"/>
    </row>
    <row r="776" spans="2:122" ht="15.75" thickBot="1" x14ac:dyDescent="0.3">
      <c r="B776" s="1"/>
      <c r="C776" s="39"/>
      <c r="D776" s="40">
        <v>5</v>
      </c>
      <c r="E776" s="40">
        <v>4</v>
      </c>
      <c r="F776" s="40">
        <v>3</v>
      </c>
      <c r="G776" s="40">
        <v>2</v>
      </c>
      <c r="H776" s="40">
        <v>1</v>
      </c>
      <c r="I776" s="41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4"/>
    </row>
    <row r="777" spans="2:122" ht="15.75" thickBot="1" x14ac:dyDescent="0.3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4"/>
    </row>
    <row r="778" spans="2:122" x14ac:dyDescent="0.25">
      <c r="B778" s="1"/>
      <c r="C778" s="31" t="s">
        <v>295</v>
      </c>
      <c r="D778" s="43" t="s">
        <v>296</v>
      </c>
      <c r="E778" s="44"/>
      <c r="F778" s="44"/>
      <c r="G778" s="44"/>
      <c r="H778" s="44"/>
      <c r="I778" s="45"/>
      <c r="J778" s="3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4"/>
    </row>
    <row r="779" spans="2:122" x14ac:dyDescent="0.25">
      <c r="B779" s="1"/>
      <c r="C779" s="33"/>
      <c r="D779" s="34"/>
      <c r="E779" s="34"/>
      <c r="F779" s="34"/>
      <c r="G779" s="34"/>
      <c r="H779" s="34"/>
      <c r="I779" s="3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4"/>
    </row>
    <row r="780" spans="2:122" ht="26.25" x14ac:dyDescent="0.25">
      <c r="B780" s="1"/>
      <c r="C780" s="33"/>
      <c r="D780" s="36" t="s">
        <v>42</v>
      </c>
      <c r="E780" s="36" t="s">
        <v>43</v>
      </c>
      <c r="F780" s="36" t="s">
        <v>44</v>
      </c>
      <c r="G780" s="36" t="s">
        <v>45</v>
      </c>
      <c r="H780" s="36" t="s">
        <v>46</v>
      </c>
      <c r="I780" s="3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4"/>
    </row>
    <row r="781" spans="2:122" x14ac:dyDescent="0.25">
      <c r="B781" s="1"/>
      <c r="C781" s="33"/>
      <c r="D781" s="37"/>
      <c r="E781" s="37"/>
      <c r="F781" s="37"/>
      <c r="G781" s="37"/>
      <c r="H781" s="37"/>
      <c r="I781" s="35"/>
      <c r="J781">
        <f>IF(D781="x",5,0)</f>
        <v>0</v>
      </c>
      <c r="K781">
        <f>IF(E781="x",4,0)</f>
        <v>0</v>
      </c>
      <c r="L781">
        <f>IF(F781="x",3,0)</f>
        <v>0</v>
      </c>
      <c r="M781">
        <f>IF(G781="x",2,0)</f>
        <v>0</v>
      </c>
      <c r="N781">
        <f>IF(H781="x",1,0)</f>
        <v>0</v>
      </c>
      <c r="O781" s="3" t="str">
        <f>IF(Q781="",SUM(J781:N781),"falso")</f>
        <v>falso</v>
      </c>
      <c r="P781">
        <f>COUNTIF(D781:H781,"x")</f>
        <v>0</v>
      </c>
      <c r="Q781" s="38" t="str">
        <f>IF(P781&lt;1,"error",IF(P781&gt;1,"error",""))</f>
        <v>error</v>
      </c>
      <c r="R781" s="38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4"/>
    </row>
    <row r="782" spans="2:122" ht="15.75" thickBot="1" x14ac:dyDescent="0.3">
      <c r="B782" s="1"/>
      <c r="C782" s="39"/>
      <c r="D782" s="40">
        <v>5</v>
      </c>
      <c r="E782" s="40">
        <v>4</v>
      </c>
      <c r="F782" s="40">
        <v>3</v>
      </c>
      <c r="G782" s="40">
        <v>2</v>
      </c>
      <c r="H782" s="40">
        <v>1</v>
      </c>
      <c r="I782" s="41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4"/>
    </row>
    <row r="783" spans="2:122" ht="15.75" thickBot="1" x14ac:dyDescent="0.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4"/>
    </row>
    <row r="784" spans="2:122" x14ac:dyDescent="0.25">
      <c r="B784" s="1"/>
      <c r="C784" s="31" t="s">
        <v>297</v>
      </c>
      <c r="D784" s="43" t="s">
        <v>298</v>
      </c>
      <c r="E784" s="44"/>
      <c r="F784" s="44"/>
      <c r="G784" s="44"/>
      <c r="H784" s="44"/>
      <c r="I784" s="45"/>
      <c r="J784" s="3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4"/>
    </row>
    <row r="785" spans="2:122" x14ac:dyDescent="0.25">
      <c r="B785" s="1"/>
      <c r="C785" s="33"/>
      <c r="D785" s="34"/>
      <c r="E785" s="34"/>
      <c r="F785" s="34"/>
      <c r="G785" s="34"/>
      <c r="H785" s="34"/>
      <c r="I785" s="3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4"/>
    </row>
    <row r="786" spans="2:122" ht="26.25" x14ac:dyDescent="0.25">
      <c r="B786" s="1"/>
      <c r="C786" s="33"/>
      <c r="D786" s="36" t="s">
        <v>42</v>
      </c>
      <c r="E786" s="36" t="s">
        <v>43</v>
      </c>
      <c r="F786" s="36" t="s">
        <v>44</v>
      </c>
      <c r="G786" s="36" t="s">
        <v>45</v>
      </c>
      <c r="H786" s="36" t="s">
        <v>46</v>
      </c>
      <c r="I786" s="3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4"/>
    </row>
    <row r="787" spans="2:122" x14ac:dyDescent="0.25">
      <c r="B787" s="1"/>
      <c r="C787" s="33"/>
      <c r="D787" s="37"/>
      <c r="E787" s="37"/>
      <c r="F787" s="37"/>
      <c r="G787" s="37"/>
      <c r="H787" s="37"/>
      <c r="I787" s="35"/>
      <c r="J787">
        <f>IF(D787="x",5,0)</f>
        <v>0</v>
      </c>
      <c r="K787">
        <f>IF(E787="x",4,0)</f>
        <v>0</v>
      </c>
      <c r="L787">
        <f>IF(F787="x",3,0)</f>
        <v>0</v>
      </c>
      <c r="M787">
        <f>IF(G787="x",2,0)</f>
        <v>0</v>
      </c>
      <c r="N787">
        <f>IF(H787="x",1,0)</f>
        <v>0</v>
      </c>
      <c r="O787" s="3" t="str">
        <f>IF(Q787="",SUM(J787:N787),"falso")</f>
        <v>falso</v>
      </c>
      <c r="P787">
        <f>COUNTIF(D787:H787,"x")</f>
        <v>0</v>
      </c>
      <c r="Q787" s="38" t="str">
        <f>IF(P787&lt;1,"error",IF(P787&gt;1,"error",""))</f>
        <v>error</v>
      </c>
      <c r="R787" s="38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4"/>
    </row>
    <row r="788" spans="2:122" ht="15.75" thickBot="1" x14ac:dyDescent="0.3">
      <c r="B788" s="1"/>
      <c r="C788" s="39"/>
      <c r="D788" s="40">
        <v>5</v>
      </c>
      <c r="E788" s="40">
        <v>4</v>
      </c>
      <c r="F788" s="40">
        <v>3</v>
      </c>
      <c r="G788" s="40">
        <v>2</v>
      </c>
      <c r="H788" s="40">
        <v>1</v>
      </c>
      <c r="I788" s="41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4"/>
    </row>
    <row r="789" spans="2:122" ht="15.75" thickBot="1" x14ac:dyDescent="0.3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4"/>
    </row>
    <row r="790" spans="2:122" x14ac:dyDescent="0.25">
      <c r="B790" s="1"/>
      <c r="C790" s="31" t="s">
        <v>299</v>
      </c>
      <c r="D790" s="43" t="s">
        <v>300</v>
      </c>
      <c r="E790" s="44"/>
      <c r="F790" s="44"/>
      <c r="G790" s="44"/>
      <c r="H790" s="44"/>
      <c r="I790" s="45"/>
      <c r="J790" s="3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4"/>
    </row>
    <row r="791" spans="2:122" x14ac:dyDescent="0.25">
      <c r="B791" s="1"/>
      <c r="C791" s="33"/>
      <c r="D791" s="34"/>
      <c r="E791" s="34"/>
      <c r="F791" s="34"/>
      <c r="G791" s="34"/>
      <c r="H791" s="34"/>
      <c r="I791" s="3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4"/>
    </row>
    <row r="792" spans="2:122" ht="26.25" x14ac:dyDescent="0.25">
      <c r="B792" s="1"/>
      <c r="C792" s="33"/>
      <c r="D792" s="36" t="s">
        <v>42</v>
      </c>
      <c r="E792" s="36" t="s">
        <v>43</v>
      </c>
      <c r="F792" s="36" t="s">
        <v>44</v>
      </c>
      <c r="G792" s="36" t="s">
        <v>45</v>
      </c>
      <c r="H792" s="36" t="s">
        <v>46</v>
      </c>
      <c r="I792" s="3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4"/>
    </row>
    <row r="793" spans="2:122" x14ac:dyDescent="0.25">
      <c r="B793" s="1"/>
      <c r="C793" s="33"/>
      <c r="D793" s="37"/>
      <c r="E793" s="37"/>
      <c r="F793" s="37"/>
      <c r="G793" s="37"/>
      <c r="H793" s="37"/>
      <c r="I793" s="35"/>
      <c r="J793">
        <f>IF(D793="x",5,0)</f>
        <v>0</v>
      </c>
      <c r="K793">
        <f>IF(E793="x",4,0)</f>
        <v>0</v>
      </c>
      <c r="L793">
        <f>IF(F793="x",3,0)</f>
        <v>0</v>
      </c>
      <c r="M793">
        <f>IF(G793="x",2,0)</f>
        <v>0</v>
      </c>
      <c r="N793">
        <f>IF(H793="x",1,0)</f>
        <v>0</v>
      </c>
      <c r="O793" s="3" t="str">
        <f>IF(Q793="",SUM(J793:N793),"falso")</f>
        <v>falso</v>
      </c>
      <c r="P793">
        <f>COUNTIF(D793:H793,"x")</f>
        <v>0</v>
      </c>
      <c r="Q793" s="38" t="str">
        <f>IF(P793&lt;1,"error",IF(P793&gt;1,"error",""))</f>
        <v>error</v>
      </c>
      <c r="R793" s="38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4"/>
    </row>
    <row r="794" spans="2:122" ht="15.75" thickBot="1" x14ac:dyDescent="0.3">
      <c r="B794" s="1"/>
      <c r="C794" s="39"/>
      <c r="D794" s="40">
        <v>5</v>
      </c>
      <c r="E794" s="40">
        <v>4</v>
      </c>
      <c r="F794" s="40">
        <v>3</v>
      </c>
      <c r="G794" s="40">
        <v>2</v>
      </c>
      <c r="H794" s="40">
        <v>1</v>
      </c>
      <c r="I794" s="41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4"/>
    </row>
    <row r="795" spans="2:122" ht="15.75" thickBot="1" x14ac:dyDescent="0.3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4"/>
    </row>
    <row r="796" spans="2:122" x14ac:dyDescent="0.25">
      <c r="B796" s="1"/>
      <c r="C796" s="31" t="s">
        <v>301</v>
      </c>
      <c r="D796" s="43" t="s">
        <v>302</v>
      </c>
      <c r="E796" s="44"/>
      <c r="F796" s="44"/>
      <c r="G796" s="44"/>
      <c r="H796" s="44"/>
      <c r="I796" s="45"/>
      <c r="J796" s="3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4"/>
    </row>
    <row r="797" spans="2:122" x14ac:dyDescent="0.25">
      <c r="B797" s="1"/>
      <c r="C797" s="33"/>
      <c r="D797" s="34"/>
      <c r="E797" s="34"/>
      <c r="F797" s="34"/>
      <c r="G797" s="34"/>
      <c r="H797" s="34"/>
      <c r="I797" s="3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4"/>
    </row>
    <row r="798" spans="2:122" ht="26.25" x14ac:dyDescent="0.25">
      <c r="B798" s="1"/>
      <c r="C798" s="33"/>
      <c r="D798" s="36" t="s">
        <v>42</v>
      </c>
      <c r="E798" s="36" t="s">
        <v>43</v>
      </c>
      <c r="F798" s="36" t="s">
        <v>44</v>
      </c>
      <c r="G798" s="36" t="s">
        <v>45</v>
      </c>
      <c r="H798" s="36" t="s">
        <v>46</v>
      </c>
      <c r="I798" s="3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4"/>
    </row>
    <row r="799" spans="2:122" x14ac:dyDescent="0.25">
      <c r="B799" s="1"/>
      <c r="C799" s="33"/>
      <c r="D799" s="37"/>
      <c r="E799" s="37"/>
      <c r="F799" s="37"/>
      <c r="G799" s="37"/>
      <c r="H799" s="37"/>
      <c r="I799" s="35"/>
      <c r="J799">
        <f>IF(D799="x",5,0)</f>
        <v>0</v>
      </c>
      <c r="K799">
        <f>IF(E799="x",4,0)</f>
        <v>0</v>
      </c>
      <c r="L799">
        <f>IF(F799="x",3,0)</f>
        <v>0</v>
      </c>
      <c r="M799">
        <f>IF(G799="x",2,0)</f>
        <v>0</v>
      </c>
      <c r="N799">
        <f>IF(H799="x",1,0)</f>
        <v>0</v>
      </c>
      <c r="O799" s="3" t="str">
        <f>IF(Q799="",SUM(J799:N799),"falso")</f>
        <v>falso</v>
      </c>
      <c r="P799">
        <f>COUNTIF(D799:H799,"x")</f>
        <v>0</v>
      </c>
      <c r="Q799" s="38" t="str">
        <f>IF(P799&lt;1,"error",IF(P799&gt;1,"error",""))</f>
        <v>error</v>
      </c>
      <c r="R799" s="38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4"/>
    </row>
    <row r="800" spans="2:122" ht="15.75" thickBot="1" x14ac:dyDescent="0.3">
      <c r="B800" s="1"/>
      <c r="C800" s="39"/>
      <c r="D800" s="40">
        <v>5</v>
      </c>
      <c r="E800" s="40">
        <v>4</v>
      </c>
      <c r="F800" s="40">
        <v>3</v>
      </c>
      <c r="G800" s="40">
        <v>2</v>
      </c>
      <c r="H800" s="40">
        <v>1</v>
      </c>
      <c r="I800" s="41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4"/>
    </row>
    <row r="801" spans="2:122" ht="15.75" thickBot="1" x14ac:dyDescent="0.3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4"/>
    </row>
    <row r="802" spans="2:122" x14ac:dyDescent="0.25">
      <c r="B802" s="1"/>
      <c r="C802" s="31" t="s">
        <v>303</v>
      </c>
      <c r="D802" s="43" t="s">
        <v>304</v>
      </c>
      <c r="E802" s="44"/>
      <c r="F802" s="44"/>
      <c r="G802" s="44"/>
      <c r="H802" s="44"/>
      <c r="I802" s="45"/>
      <c r="J802" s="3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4"/>
    </row>
    <row r="803" spans="2:122" x14ac:dyDescent="0.25">
      <c r="B803" s="1"/>
      <c r="C803" s="33"/>
      <c r="D803" s="34"/>
      <c r="E803" s="34"/>
      <c r="F803" s="34"/>
      <c r="G803" s="34"/>
      <c r="H803" s="34"/>
      <c r="I803" s="3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4"/>
    </row>
    <row r="804" spans="2:122" ht="26.25" x14ac:dyDescent="0.25">
      <c r="B804" s="1"/>
      <c r="C804" s="33"/>
      <c r="D804" s="36" t="s">
        <v>42</v>
      </c>
      <c r="E804" s="36" t="s">
        <v>43</v>
      </c>
      <c r="F804" s="36" t="s">
        <v>44</v>
      </c>
      <c r="G804" s="36" t="s">
        <v>45</v>
      </c>
      <c r="H804" s="36" t="s">
        <v>46</v>
      </c>
      <c r="I804" s="3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4"/>
    </row>
    <row r="805" spans="2:122" x14ac:dyDescent="0.25">
      <c r="B805" s="1"/>
      <c r="C805" s="33"/>
      <c r="D805" s="37"/>
      <c r="E805" s="37"/>
      <c r="F805" s="37"/>
      <c r="G805" s="37"/>
      <c r="H805" s="37"/>
      <c r="I805" s="35"/>
      <c r="J805">
        <f>IF(D805="x",5,0)</f>
        <v>0</v>
      </c>
      <c r="K805">
        <f>IF(E805="x",4,0)</f>
        <v>0</v>
      </c>
      <c r="L805">
        <f>IF(F805="x",3,0)</f>
        <v>0</v>
      </c>
      <c r="M805">
        <f>IF(G805="x",2,0)</f>
        <v>0</v>
      </c>
      <c r="N805">
        <f>IF(H805="x",1,0)</f>
        <v>0</v>
      </c>
      <c r="O805" s="3" t="str">
        <f>IF(Q805="",SUM(J805:N805),"falso")</f>
        <v>falso</v>
      </c>
      <c r="P805">
        <f>COUNTIF(D805:H805,"x")</f>
        <v>0</v>
      </c>
      <c r="Q805" s="38" t="str">
        <f>IF(P805&lt;1,"error",IF(P805&gt;1,"error",""))</f>
        <v>error</v>
      </c>
      <c r="R805" s="38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4"/>
    </row>
    <row r="806" spans="2:122" ht="15.75" thickBot="1" x14ac:dyDescent="0.3">
      <c r="B806" s="1"/>
      <c r="C806" s="39"/>
      <c r="D806" s="40">
        <v>5</v>
      </c>
      <c r="E806" s="40">
        <v>4</v>
      </c>
      <c r="F806" s="40">
        <v>3</v>
      </c>
      <c r="G806" s="40">
        <v>2</v>
      </c>
      <c r="H806" s="40">
        <v>1</v>
      </c>
      <c r="I806" s="41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4"/>
    </row>
    <row r="807" spans="2:122" ht="15.75" thickBot="1" x14ac:dyDescent="0.3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4"/>
    </row>
    <row r="808" spans="2:122" x14ac:dyDescent="0.25">
      <c r="B808" s="1"/>
      <c r="C808" s="31" t="s">
        <v>305</v>
      </c>
      <c r="D808" s="43" t="s">
        <v>306</v>
      </c>
      <c r="E808" s="44"/>
      <c r="F808" s="44"/>
      <c r="G808" s="44"/>
      <c r="H808" s="44"/>
      <c r="I808" s="45"/>
      <c r="J808" s="3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4"/>
    </row>
    <row r="809" spans="2:122" x14ac:dyDescent="0.25">
      <c r="B809" s="1"/>
      <c r="C809" s="33"/>
      <c r="D809" s="34"/>
      <c r="E809" s="34"/>
      <c r="F809" s="34"/>
      <c r="G809" s="34"/>
      <c r="H809" s="34"/>
      <c r="I809" s="3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4"/>
    </row>
    <row r="810" spans="2:122" ht="26.25" x14ac:dyDescent="0.25">
      <c r="B810" s="1"/>
      <c r="C810" s="33"/>
      <c r="D810" s="36" t="s">
        <v>42</v>
      </c>
      <c r="E810" s="36" t="s">
        <v>43</v>
      </c>
      <c r="F810" s="36" t="s">
        <v>44</v>
      </c>
      <c r="G810" s="36" t="s">
        <v>45</v>
      </c>
      <c r="H810" s="36" t="s">
        <v>46</v>
      </c>
      <c r="I810" s="3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4"/>
    </row>
    <row r="811" spans="2:122" x14ac:dyDescent="0.25">
      <c r="B811" s="1"/>
      <c r="C811" s="33"/>
      <c r="D811" s="37"/>
      <c r="E811" s="37"/>
      <c r="F811" s="37"/>
      <c r="G811" s="37"/>
      <c r="H811" s="37"/>
      <c r="I811" s="35"/>
      <c r="J811">
        <f>IF(D811="x",5,0)</f>
        <v>0</v>
      </c>
      <c r="K811">
        <f>IF(E811="x",4,0)</f>
        <v>0</v>
      </c>
      <c r="L811">
        <f>IF(F811="x",3,0)</f>
        <v>0</v>
      </c>
      <c r="M811">
        <f>IF(G811="x",2,0)</f>
        <v>0</v>
      </c>
      <c r="N811">
        <f>IF(H811="x",1,0)</f>
        <v>0</v>
      </c>
      <c r="O811" s="3" t="str">
        <f>IF(Q811="",SUM(J811:N811),"falso")</f>
        <v>falso</v>
      </c>
      <c r="P811">
        <f>COUNTIF(D811:H811,"x")</f>
        <v>0</v>
      </c>
      <c r="Q811" s="38" t="str">
        <f>IF(P811&lt;1,"error",IF(P811&gt;1,"error",""))</f>
        <v>error</v>
      </c>
      <c r="R811" s="38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4"/>
    </row>
    <row r="812" spans="2:122" ht="15.75" thickBot="1" x14ac:dyDescent="0.3">
      <c r="B812" s="1"/>
      <c r="C812" s="39"/>
      <c r="D812" s="40">
        <v>5</v>
      </c>
      <c r="E812" s="40">
        <v>4</v>
      </c>
      <c r="F812" s="40">
        <v>3</v>
      </c>
      <c r="G812" s="40">
        <v>2</v>
      </c>
      <c r="H812" s="40">
        <v>1</v>
      </c>
      <c r="I812" s="41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4"/>
    </row>
    <row r="813" spans="2:122" ht="15.75" thickBot="1" x14ac:dyDescent="0.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4"/>
    </row>
    <row r="814" spans="2:122" x14ac:dyDescent="0.25">
      <c r="B814" s="1"/>
      <c r="C814" s="31" t="s">
        <v>307</v>
      </c>
      <c r="D814" s="43" t="s">
        <v>308</v>
      </c>
      <c r="E814" s="44"/>
      <c r="F814" s="44"/>
      <c r="G814" s="44"/>
      <c r="H814" s="44"/>
      <c r="I814" s="45"/>
      <c r="J814" s="3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4"/>
    </row>
    <row r="815" spans="2:122" x14ac:dyDescent="0.25">
      <c r="B815" s="1"/>
      <c r="C815" s="33"/>
      <c r="D815" s="34"/>
      <c r="E815" s="34"/>
      <c r="F815" s="34"/>
      <c r="G815" s="34"/>
      <c r="H815" s="34"/>
      <c r="I815" s="3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4"/>
    </row>
    <row r="816" spans="2:122" ht="26.25" x14ac:dyDescent="0.25">
      <c r="B816" s="1"/>
      <c r="C816" s="33"/>
      <c r="D816" s="36" t="s">
        <v>42</v>
      </c>
      <c r="E816" s="36" t="s">
        <v>43</v>
      </c>
      <c r="F816" s="36" t="s">
        <v>44</v>
      </c>
      <c r="G816" s="36" t="s">
        <v>45</v>
      </c>
      <c r="H816" s="36" t="s">
        <v>46</v>
      </c>
      <c r="I816" s="3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4"/>
    </row>
    <row r="817" spans="2:122" x14ac:dyDescent="0.25">
      <c r="B817" s="1"/>
      <c r="C817" s="33"/>
      <c r="D817" s="37"/>
      <c r="E817" s="37"/>
      <c r="F817" s="37"/>
      <c r="G817" s="37"/>
      <c r="H817" s="37"/>
      <c r="I817" s="35"/>
      <c r="J817">
        <f>IF(D817="x",5,0)</f>
        <v>0</v>
      </c>
      <c r="K817">
        <f>IF(E817="x",4,0)</f>
        <v>0</v>
      </c>
      <c r="L817">
        <f>IF(F817="x",3,0)</f>
        <v>0</v>
      </c>
      <c r="M817">
        <f>IF(G817="x",2,0)</f>
        <v>0</v>
      </c>
      <c r="N817">
        <f>IF(H817="x",1,0)</f>
        <v>0</v>
      </c>
      <c r="O817" s="3" t="str">
        <f>IF(Q817="",SUM(J817:N817),"falso")</f>
        <v>falso</v>
      </c>
      <c r="P817">
        <f>COUNTIF(D817:H817,"x")</f>
        <v>0</v>
      </c>
      <c r="Q817" s="38" t="str">
        <f>IF(P817&lt;1,"error",IF(P817&gt;1,"error",""))</f>
        <v>error</v>
      </c>
      <c r="R817" s="38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4"/>
    </row>
    <row r="818" spans="2:122" ht="15.75" thickBot="1" x14ac:dyDescent="0.3">
      <c r="B818" s="1"/>
      <c r="C818" s="39"/>
      <c r="D818" s="40">
        <v>5</v>
      </c>
      <c r="E818" s="40">
        <v>4</v>
      </c>
      <c r="F818" s="40">
        <v>3</v>
      </c>
      <c r="G818" s="40">
        <v>2</v>
      </c>
      <c r="H818" s="40">
        <v>1</v>
      </c>
      <c r="I818" s="41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4"/>
    </row>
    <row r="819" spans="2:122" x14ac:dyDescent="0.25">
      <c r="B819" s="1"/>
      <c r="C819" s="2"/>
      <c r="D819" s="2"/>
      <c r="E819" s="2"/>
      <c r="F819" s="2"/>
      <c r="G819" s="2"/>
      <c r="H819" s="2"/>
      <c r="I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4"/>
    </row>
    <row r="820" spans="2:122" x14ac:dyDescent="0.25">
      <c r="B820" s="1"/>
      <c r="C820" s="2"/>
      <c r="D820" s="2"/>
      <c r="E820" s="2"/>
      <c r="F820" s="2"/>
      <c r="G820" s="2"/>
      <c r="H820" s="2"/>
      <c r="I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4"/>
    </row>
    <row r="821" spans="2:122" x14ac:dyDescent="0.25">
      <c r="B821" s="1"/>
      <c r="C821" s="46" t="s">
        <v>309</v>
      </c>
      <c r="D821" s="46"/>
      <c r="E821" s="46"/>
      <c r="F821" s="46"/>
      <c r="G821" s="46"/>
      <c r="H821" s="46"/>
      <c r="I821" s="46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4"/>
    </row>
    <row r="822" spans="2:122" x14ac:dyDescent="0.25">
      <c r="B822" s="1"/>
      <c r="C822" s="2"/>
      <c r="D822" s="2"/>
      <c r="E822" s="2"/>
      <c r="F822" s="2"/>
      <c r="G822" s="2"/>
      <c r="H822" s="2"/>
      <c r="I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4"/>
    </row>
    <row r="823" spans="2:122" x14ac:dyDescent="0.25">
      <c r="B823" s="1"/>
      <c r="C823" s="2"/>
      <c r="D823" s="2"/>
      <c r="E823" s="2"/>
      <c r="F823" s="2"/>
      <c r="G823" s="2"/>
      <c r="H823" s="2"/>
      <c r="I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4"/>
    </row>
    <row r="824" spans="2:122" x14ac:dyDescent="0.25">
      <c r="B824" s="1"/>
      <c r="C824" s="2"/>
      <c r="D824" s="2"/>
      <c r="E824" s="2"/>
      <c r="F824" s="2"/>
      <c r="G824" s="2"/>
      <c r="H824" s="2"/>
      <c r="I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4"/>
    </row>
    <row r="825" spans="2:122" x14ac:dyDescent="0.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4"/>
    </row>
    <row r="826" spans="2:122" x14ac:dyDescent="0.2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4"/>
    </row>
    <row r="827" spans="2:122" x14ac:dyDescent="0.2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4"/>
    </row>
    <row r="828" spans="2:122" x14ac:dyDescent="0.2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4"/>
    </row>
    <row r="829" spans="2:122" x14ac:dyDescent="0.2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4"/>
    </row>
    <row r="830" spans="2:122" x14ac:dyDescent="0.2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4"/>
    </row>
    <row r="831" spans="2:122" x14ac:dyDescent="0.2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4"/>
    </row>
    <row r="832" spans="2:122" x14ac:dyDescent="0.2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4"/>
    </row>
  </sheetData>
  <mergeCells count="154">
    <mergeCell ref="C7:D7"/>
    <mergeCell ref="E7:F7"/>
    <mergeCell ref="H7:I7"/>
    <mergeCell ref="C8:D8"/>
    <mergeCell ref="H8:I8"/>
    <mergeCell ref="C10:I10"/>
    <mergeCell ref="C2:I2"/>
    <mergeCell ref="C3:I3"/>
    <mergeCell ref="C5:D5"/>
    <mergeCell ref="E5:I5"/>
    <mergeCell ref="C6:D6"/>
    <mergeCell ref="E6:I6"/>
    <mergeCell ref="C20:I20"/>
    <mergeCell ref="C22:I22"/>
    <mergeCell ref="C26:I26"/>
    <mergeCell ref="D28:I28"/>
    <mergeCell ref="D34:I34"/>
    <mergeCell ref="D40:I40"/>
    <mergeCell ref="C12:I12"/>
    <mergeCell ref="C14:I14"/>
    <mergeCell ref="C16:I16"/>
    <mergeCell ref="C17:I17"/>
    <mergeCell ref="C18:I18"/>
    <mergeCell ref="C19:I19"/>
    <mergeCell ref="D82:I82"/>
    <mergeCell ref="D88:I88"/>
    <mergeCell ref="D94:I94"/>
    <mergeCell ref="D100:I100"/>
    <mergeCell ref="D106:I106"/>
    <mergeCell ref="D112:I112"/>
    <mergeCell ref="D46:I46"/>
    <mergeCell ref="D52:I52"/>
    <mergeCell ref="D58:I58"/>
    <mergeCell ref="D64:I64"/>
    <mergeCell ref="D70:I70"/>
    <mergeCell ref="D76:I76"/>
    <mergeCell ref="D154:I154"/>
    <mergeCell ref="D160:I160"/>
    <mergeCell ref="D166:I166"/>
    <mergeCell ref="D172:I172"/>
    <mergeCell ref="D178:I178"/>
    <mergeCell ref="D184:I184"/>
    <mergeCell ref="D118:I118"/>
    <mergeCell ref="D124:I124"/>
    <mergeCell ref="D130:I130"/>
    <mergeCell ref="D136:I136"/>
    <mergeCell ref="D142:I142"/>
    <mergeCell ref="D148:I148"/>
    <mergeCell ref="D226:I226"/>
    <mergeCell ref="D232:I232"/>
    <mergeCell ref="D238:I238"/>
    <mergeCell ref="D244:I244"/>
    <mergeCell ref="D250:I250"/>
    <mergeCell ref="D256:I256"/>
    <mergeCell ref="D190:I190"/>
    <mergeCell ref="D196:I196"/>
    <mergeCell ref="D202:I202"/>
    <mergeCell ref="D208:I208"/>
    <mergeCell ref="D214:I214"/>
    <mergeCell ref="D220:I220"/>
    <mergeCell ref="D298:I298"/>
    <mergeCell ref="D304:I304"/>
    <mergeCell ref="D310:I310"/>
    <mergeCell ref="D316:I316"/>
    <mergeCell ref="D322:I322"/>
    <mergeCell ref="D328:I328"/>
    <mergeCell ref="D262:I262"/>
    <mergeCell ref="D268:I268"/>
    <mergeCell ref="D274:I274"/>
    <mergeCell ref="D280:I280"/>
    <mergeCell ref="D286:I286"/>
    <mergeCell ref="D292:I292"/>
    <mergeCell ref="D370:I370"/>
    <mergeCell ref="D376:I376"/>
    <mergeCell ref="D382:I382"/>
    <mergeCell ref="D388:I388"/>
    <mergeCell ref="D394:I394"/>
    <mergeCell ref="D400:I400"/>
    <mergeCell ref="D334:I334"/>
    <mergeCell ref="D340:I340"/>
    <mergeCell ref="D346:I346"/>
    <mergeCell ref="D352:I352"/>
    <mergeCell ref="D358:I358"/>
    <mergeCell ref="D364:I364"/>
    <mergeCell ref="D442:I442"/>
    <mergeCell ref="D448:I448"/>
    <mergeCell ref="D454:I454"/>
    <mergeCell ref="D460:I460"/>
    <mergeCell ref="D466:I466"/>
    <mergeCell ref="D472:I472"/>
    <mergeCell ref="D406:I406"/>
    <mergeCell ref="D412:I412"/>
    <mergeCell ref="D418:I418"/>
    <mergeCell ref="D424:I424"/>
    <mergeCell ref="D430:I430"/>
    <mergeCell ref="D436:I436"/>
    <mergeCell ref="D514:I514"/>
    <mergeCell ref="D520:I520"/>
    <mergeCell ref="D526:I526"/>
    <mergeCell ref="D532:I532"/>
    <mergeCell ref="D538:I538"/>
    <mergeCell ref="D544:I544"/>
    <mergeCell ref="D478:I478"/>
    <mergeCell ref="D484:I484"/>
    <mergeCell ref="D490:I490"/>
    <mergeCell ref="D496:I496"/>
    <mergeCell ref="D502:I502"/>
    <mergeCell ref="D508:I508"/>
    <mergeCell ref="D586:I586"/>
    <mergeCell ref="D592:I592"/>
    <mergeCell ref="D598:I598"/>
    <mergeCell ref="D604:I604"/>
    <mergeCell ref="D610:I610"/>
    <mergeCell ref="D616:I616"/>
    <mergeCell ref="D550:I550"/>
    <mergeCell ref="D556:I556"/>
    <mergeCell ref="D562:I562"/>
    <mergeCell ref="D568:I568"/>
    <mergeCell ref="D574:I574"/>
    <mergeCell ref="D580:I580"/>
    <mergeCell ref="D658:I658"/>
    <mergeCell ref="D664:I664"/>
    <mergeCell ref="D670:I670"/>
    <mergeCell ref="D676:I676"/>
    <mergeCell ref="D682:I682"/>
    <mergeCell ref="D688:I688"/>
    <mergeCell ref="D622:I622"/>
    <mergeCell ref="D628:I628"/>
    <mergeCell ref="D634:I634"/>
    <mergeCell ref="D640:I640"/>
    <mergeCell ref="D646:I646"/>
    <mergeCell ref="D652:I652"/>
    <mergeCell ref="D730:I730"/>
    <mergeCell ref="D736:I736"/>
    <mergeCell ref="D742:I742"/>
    <mergeCell ref="D748:I748"/>
    <mergeCell ref="D754:I754"/>
    <mergeCell ref="D760:I760"/>
    <mergeCell ref="D694:I694"/>
    <mergeCell ref="D700:I700"/>
    <mergeCell ref="D706:I706"/>
    <mergeCell ref="D712:I712"/>
    <mergeCell ref="D718:I718"/>
    <mergeCell ref="D724:I724"/>
    <mergeCell ref="D802:I802"/>
    <mergeCell ref="D808:I808"/>
    <mergeCell ref="D814:I814"/>
    <mergeCell ref="C821:I821"/>
    <mergeCell ref="D766:I766"/>
    <mergeCell ref="D772:I772"/>
    <mergeCell ref="D778:I778"/>
    <mergeCell ref="D784:I784"/>
    <mergeCell ref="D790:I790"/>
    <mergeCell ref="D796:I79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9525</xdr:rowOff>
                  </from>
                  <to>
                    <xdr:col>5</xdr:col>
                    <xdr:colOff>495300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borrar">
                <anchor moveWithCells="1" sizeWithCells="1">
                  <from>
                    <xdr:col>7</xdr:col>
                    <xdr:colOff>85725</xdr:colOff>
                    <xdr:row>1</xdr:row>
                    <xdr:rowOff>9525</xdr:rowOff>
                  </from>
                  <to>
                    <xdr:col>8</xdr:col>
                    <xdr:colOff>390525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1]!Inicio">
                <anchor moveWithCells="1" sizeWithCells="1">
                  <from>
                    <xdr:col>7</xdr:col>
                    <xdr:colOff>495300</xdr:colOff>
                    <xdr:row>821</xdr:row>
                    <xdr:rowOff>95250</xdr:rowOff>
                  </from>
                  <to>
                    <xdr:col>8</xdr:col>
                    <xdr:colOff>495300</xdr:colOff>
                    <xdr:row>823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6903-953B-466E-AE1A-69832A33584A}">
  <dimension ref="A1:FF72"/>
  <sheetViews>
    <sheetView zoomScale="40" zoomScaleNormal="40" workbookViewId="0">
      <selection activeCell="AU30" sqref="AU30"/>
    </sheetView>
  </sheetViews>
  <sheetFormatPr baseColWidth="10" defaultRowHeight="15" x14ac:dyDescent="0.25"/>
  <sheetData>
    <row r="1" spans="1:162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ht="15.75" thickBot="1" x14ac:dyDescent="0.3">
      <c r="A2" s="2"/>
      <c r="B2" s="85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spans="1:162" ht="15.75" thickBot="1" x14ac:dyDescent="0.3">
      <c r="A3" s="2"/>
      <c r="B3" s="86"/>
      <c r="D3" s="87" t="s">
        <v>310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9"/>
      <c r="AF3" s="26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  <row r="4" spans="1:162" x14ac:dyDescent="0.25">
      <c r="A4" s="2"/>
      <c r="B4" s="86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26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</row>
    <row r="5" spans="1:162" ht="20.25" x14ac:dyDescent="0.3">
      <c r="A5" s="2"/>
      <c r="B5" s="86"/>
      <c r="D5" s="91" t="s">
        <v>311</v>
      </c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26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</row>
    <row r="6" spans="1:162" x14ac:dyDescent="0.25">
      <c r="A6" s="2"/>
      <c r="B6" s="86"/>
      <c r="D6" s="92" t="s">
        <v>312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26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</row>
    <row r="7" spans="1:162" ht="15.75" thickBot="1" x14ac:dyDescent="0.3">
      <c r="A7" s="2"/>
      <c r="B7" s="86"/>
      <c r="D7" s="92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26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</row>
    <row r="8" spans="1:162" ht="15.75" thickBot="1" x14ac:dyDescent="0.3">
      <c r="A8" s="2"/>
      <c r="B8" s="86"/>
      <c r="D8" s="93" t="s">
        <v>4</v>
      </c>
      <c r="E8" s="94"/>
      <c r="F8" s="94"/>
      <c r="G8" s="94" t="str">
        <f>CONCATENATE([1]Preguntas!E5,'[1]PD con plantilla'!C6)</f>
        <v/>
      </c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26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</row>
    <row r="9" spans="1:162" ht="15.75" thickBot="1" x14ac:dyDescent="0.3">
      <c r="A9" s="2"/>
      <c r="B9" s="86"/>
      <c r="D9" s="96" t="s">
        <v>7</v>
      </c>
      <c r="E9" s="97"/>
      <c r="F9" s="97"/>
      <c r="G9" s="94" t="str">
        <f>CONCATENATE([1]Preguntas!E6,'[1]PD con plantilla'!C7)</f>
        <v/>
      </c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26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</row>
    <row r="10" spans="1:162" ht="15.75" thickBot="1" x14ac:dyDescent="0.3">
      <c r="A10" s="2"/>
      <c r="B10" s="86"/>
      <c r="D10" s="96" t="s">
        <v>11</v>
      </c>
      <c r="E10" s="97"/>
      <c r="F10" s="97"/>
      <c r="G10" s="94" t="str">
        <f>CONCATENATE([1]Preguntas!H7,'[1]PD con plantilla'!F8)</f>
        <v/>
      </c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5"/>
      <c r="T10" s="90"/>
      <c r="U10" s="98" t="s">
        <v>313</v>
      </c>
      <c r="V10" s="99"/>
      <c r="W10" s="99"/>
      <c r="X10" s="99"/>
      <c r="Y10" s="99"/>
      <c r="Z10" s="99"/>
      <c r="AA10" s="99"/>
      <c r="AB10" s="99"/>
      <c r="AC10" s="99"/>
      <c r="AD10" s="100"/>
      <c r="AE10" s="90"/>
      <c r="AF10" s="26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</row>
    <row r="11" spans="1:162" ht="15.75" thickBot="1" x14ac:dyDescent="0.3">
      <c r="A11" s="2"/>
      <c r="B11" s="86"/>
      <c r="D11" s="96" t="s">
        <v>16</v>
      </c>
      <c r="E11" s="97"/>
      <c r="F11" s="97"/>
      <c r="G11" s="94" t="str">
        <f>CONCATENATE([1]Preguntas!H8,'[1]PD con plantilla'!F9)</f>
        <v/>
      </c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5"/>
      <c r="T11" s="90"/>
      <c r="U11" s="101" t="s">
        <v>314</v>
      </c>
      <c r="V11" s="102"/>
      <c r="W11" s="103">
        <f>COUNTIF([1]Preguntas!Q31:Q818,"error")</f>
        <v>132</v>
      </c>
      <c r="X11" s="104" t="s">
        <v>315</v>
      </c>
      <c r="Y11" s="104"/>
      <c r="Z11" s="104"/>
      <c r="AA11" s="104"/>
      <c r="AB11" s="104"/>
      <c r="AC11" s="104"/>
      <c r="AD11" s="105"/>
      <c r="AE11" s="90"/>
      <c r="AF11" s="26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</row>
    <row r="12" spans="1:162" x14ac:dyDescent="0.25">
      <c r="A12" s="2"/>
      <c r="B12" s="86"/>
      <c r="D12" s="96" t="s">
        <v>15</v>
      </c>
      <c r="E12" s="97"/>
      <c r="F12" s="97"/>
      <c r="G12" s="97" t="str">
        <f>IF([1]Preguntas!N7=2,"Masculino",IF([1]Preguntas!N7=3,"Femenino","Seleccione"))</f>
        <v>Seleccione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106"/>
      <c r="AF12" s="26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</row>
    <row r="13" spans="1:162" ht="15.75" thickBot="1" x14ac:dyDescent="0.3">
      <c r="A13" s="2"/>
      <c r="B13" s="86"/>
      <c r="D13" s="107" t="s">
        <v>10</v>
      </c>
      <c r="E13" s="108"/>
      <c r="F13" s="108"/>
      <c r="G13" s="109">
        <f ca="1">TODAY()</f>
        <v>46224</v>
      </c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10"/>
      <c r="AF13" s="26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</row>
    <row r="14" spans="1:162" x14ac:dyDescent="0.25">
      <c r="A14" s="2"/>
      <c r="B14" s="86"/>
      <c r="AF14" s="26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</row>
    <row r="15" spans="1:162" x14ac:dyDescent="0.25">
      <c r="A15" s="2"/>
      <c r="B15" s="86"/>
      <c r="E15" s="111" t="s">
        <v>316</v>
      </c>
      <c r="F15" s="112"/>
      <c r="G15" s="112"/>
      <c r="H15" s="112"/>
      <c r="I15" s="113"/>
      <c r="J15" s="111" t="s">
        <v>317</v>
      </c>
      <c r="K15" s="112"/>
      <c r="L15" s="112"/>
      <c r="M15" s="112"/>
      <c r="N15" s="113"/>
      <c r="O15" s="111" t="s">
        <v>318</v>
      </c>
      <c r="P15" s="112"/>
      <c r="Q15" s="112"/>
      <c r="R15" s="112"/>
      <c r="S15" s="112"/>
      <c r="T15" s="112"/>
      <c r="U15" s="113"/>
      <c r="V15" s="111" t="s">
        <v>319</v>
      </c>
      <c r="W15" s="112"/>
      <c r="X15" s="112"/>
      <c r="Y15" s="112"/>
      <c r="Z15" s="113"/>
      <c r="AA15" s="111" t="s">
        <v>320</v>
      </c>
      <c r="AB15" s="112"/>
      <c r="AC15" s="112"/>
      <c r="AD15" s="112"/>
      <c r="AE15" s="113"/>
      <c r="AF15" s="26"/>
      <c r="AG15">
        <v>4</v>
      </c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</row>
    <row r="16" spans="1:162" ht="15.75" thickBot="1" x14ac:dyDescent="0.3">
      <c r="A16" s="2"/>
      <c r="B16" s="114" t="s">
        <v>321</v>
      </c>
      <c r="C16" s="115" t="s">
        <v>322</v>
      </c>
      <c r="D16" s="115" t="s">
        <v>24</v>
      </c>
      <c r="E16" s="116">
        <v>27</v>
      </c>
      <c r="F16" s="117">
        <v>29</v>
      </c>
      <c r="G16" s="117">
        <v>31</v>
      </c>
      <c r="H16" s="117">
        <v>32</v>
      </c>
      <c r="I16" s="118">
        <v>34</v>
      </c>
      <c r="J16" s="116">
        <v>37</v>
      </c>
      <c r="K16" s="117">
        <v>40</v>
      </c>
      <c r="L16" s="117">
        <v>42</v>
      </c>
      <c r="M16" s="117">
        <v>43</v>
      </c>
      <c r="N16" s="118">
        <v>44</v>
      </c>
      <c r="O16" s="116">
        <v>46</v>
      </c>
      <c r="P16" s="117">
        <v>47</v>
      </c>
      <c r="Q16" s="117">
        <v>49</v>
      </c>
      <c r="R16" s="117">
        <v>50</v>
      </c>
      <c r="S16" s="117">
        <v>51</v>
      </c>
      <c r="T16" s="117">
        <v>53</v>
      </c>
      <c r="U16" s="118">
        <v>54</v>
      </c>
      <c r="V16" s="116">
        <v>56</v>
      </c>
      <c r="W16" s="117">
        <v>57</v>
      </c>
      <c r="X16" s="117">
        <v>58</v>
      </c>
      <c r="Y16" s="117">
        <v>60</v>
      </c>
      <c r="Z16" s="118">
        <v>63</v>
      </c>
      <c r="AA16" s="116">
        <v>66</v>
      </c>
      <c r="AB16" s="117">
        <v>68</v>
      </c>
      <c r="AC16" s="117">
        <v>69</v>
      </c>
      <c r="AD16" s="117">
        <v>71</v>
      </c>
      <c r="AE16" s="118">
        <v>73</v>
      </c>
      <c r="AF16" s="26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</row>
    <row r="17" spans="1:162" ht="15.75" thickTop="1" x14ac:dyDescent="0.25">
      <c r="A17" s="2"/>
      <c r="B17" s="119" t="s">
        <v>14</v>
      </c>
      <c r="C17" s="120">
        <f>+'[1]PD con plantilla'!G13</f>
        <v>0</v>
      </c>
      <c r="D17" s="120" t="b">
        <f>IF($G$12="Femenino",HLOOKUP(C17,$AT$66:$EL$71,2),IF($G$12="Masculino",HLOOKUP(C17,$AT$55:$EL$60,2)))</f>
        <v>0</v>
      </c>
      <c r="E17" s="121" t="str">
        <f>IF($D$17=E16,"o","")</f>
        <v/>
      </c>
      <c r="F17" s="122" t="str">
        <f t="shared" ref="F17:AE17" si="0">IF($D$17=F16,"o","")</f>
        <v/>
      </c>
      <c r="G17" s="122" t="str">
        <f t="shared" si="0"/>
        <v/>
      </c>
      <c r="H17" s="122" t="str">
        <f t="shared" si="0"/>
        <v/>
      </c>
      <c r="I17" s="123" t="str">
        <f t="shared" si="0"/>
        <v/>
      </c>
      <c r="J17" s="121" t="str">
        <f t="shared" si="0"/>
        <v/>
      </c>
      <c r="K17" s="122" t="str">
        <f t="shared" si="0"/>
        <v/>
      </c>
      <c r="L17" s="122" t="str">
        <f t="shared" si="0"/>
        <v/>
      </c>
      <c r="M17" s="122" t="str">
        <f t="shared" si="0"/>
        <v/>
      </c>
      <c r="N17" s="123" t="str">
        <f t="shared" si="0"/>
        <v/>
      </c>
      <c r="O17" s="121" t="str">
        <f t="shared" si="0"/>
        <v/>
      </c>
      <c r="P17" s="122" t="str">
        <f t="shared" si="0"/>
        <v/>
      </c>
      <c r="Q17" s="122" t="str">
        <f t="shared" si="0"/>
        <v/>
      </c>
      <c r="R17" s="122" t="str">
        <f t="shared" si="0"/>
        <v/>
      </c>
      <c r="S17" s="122" t="str">
        <f t="shared" si="0"/>
        <v/>
      </c>
      <c r="T17" s="122" t="str">
        <f t="shared" si="0"/>
        <v/>
      </c>
      <c r="U17" s="123" t="str">
        <f t="shared" si="0"/>
        <v/>
      </c>
      <c r="V17" s="121" t="str">
        <f t="shared" si="0"/>
        <v/>
      </c>
      <c r="W17" s="122" t="str">
        <f t="shared" si="0"/>
        <v/>
      </c>
      <c r="X17" s="122" t="str">
        <f t="shared" si="0"/>
        <v/>
      </c>
      <c r="Y17" s="122" t="str">
        <f t="shared" si="0"/>
        <v/>
      </c>
      <c r="Z17" s="123" t="str">
        <f t="shared" si="0"/>
        <v/>
      </c>
      <c r="AA17" s="121" t="str">
        <f t="shared" si="0"/>
        <v/>
      </c>
      <c r="AB17" s="122" t="str">
        <f t="shared" si="0"/>
        <v/>
      </c>
      <c r="AC17" s="122" t="str">
        <f t="shared" si="0"/>
        <v/>
      </c>
      <c r="AD17" s="122" t="str">
        <f t="shared" si="0"/>
        <v/>
      </c>
      <c r="AE17" s="123" t="str">
        <f t="shared" si="0"/>
        <v/>
      </c>
      <c r="AF17" s="26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</row>
    <row r="18" spans="1:162" x14ac:dyDescent="0.25">
      <c r="A18" s="2"/>
      <c r="B18" s="119" t="s">
        <v>20</v>
      </c>
      <c r="C18" s="120">
        <f>+'[1]PD con plantilla'!G15</f>
        <v>0</v>
      </c>
      <c r="D18" s="120" t="b">
        <f>IF($G$12="Femenino",HLOOKUP(C18,$AT$66:$EL$71,3),IF($G$12="Masculino",HLOOKUP(C18,$AT$55:$EL$60,3)))</f>
        <v>0</v>
      </c>
      <c r="E18" s="124" t="str">
        <f>IF($D$18=E16,"o","")</f>
        <v/>
      </c>
      <c r="F18" s="125" t="str">
        <f t="shared" ref="F18:AE18" si="1">IF($D$18=F16,"o","")</f>
        <v/>
      </c>
      <c r="G18" s="125" t="str">
        <f t="shared" si="1"/>
        <v/>
      </c>
      <c r="H18" s="125" t="str">
        <f t="shared" si="1"/>
        <v/>
      </c>
      <c r="I18" s="126" t="str">
        <f t="shared" si="1"/>
        <v/>
      </c>
      <c r="J18" s="124" t="str">
        <f t="shared" si="1"/>
        <v/>
      </c>
      <c r="K18" s="125" t="str">
        <f t="shared" si="1"/>
        <v/>
      </c>
      <c r="L18" s="125" t="str">
        <f t="shared" si="1"/>
        <v/>
      </c>
      <c r="M18" s="125" t="str">
        <f t="shared" si="1"/>
        <v/>
      </c>
      <c r="N18" s="126" t="str">
        <f t="shared" si="1"/>
        <v/>
      </c>
      <c r="O18" s="124" t="str">
        <f t="shared" si="1"/>
        <v/>
      </c>
      <c r="P18" s="125" t="str">
        <f t="shared" si="1"/>
        <v/>
      </c>
      <c r="Q18" s="125" t="str">
        <f t="shared" si="1"/>
        <v/>
      </c>
      <c r="R18" s="125" t="str">
        <f t="shared" si="1"/>
        <v/>
      </c>
      <c r="S18" s="125" t="str">
        <f t="shared" si="1"/>
        <v/>
      </c>
      <c r="T18" s="125" t="str">
        <f t="shared" si="1"/>
        <v/>
      </c>
      <c r="U18" s="126" t="str">
        <f t="shared" si="1"/>
        <v/>
      </c>
      <c r="V18" s="124" t="str">
        <f t="shared" si="1"/>
        <v/>
      </c>
      <c r="W18" s="125" t="str">
        <f t="shared" si="1"/>
        <v/>
      </c>
      <c r="X18" s="125" t="str">
        <f t="shared" si="1"/>
        <v/>
      </c>
      <c r="Y18" s="125" t="str">
        <f t="shared" si="1"/>
        <v/>
      </c>
      <c r="Z18" s="126" t="str">
        <f t="shared" si="1"/>
        <v/>
      </c>
      <c r="AA18" s="124" t="str">
        <f t="shared" si="1"/>
        <v/>
      </c>
      <c r="AB18" s="125" t="str">
        <f t="shared" si="1"/>
        <v/>
      </c>
      <c r="AC18" s="125" t="str">
        <f t="shared" si="1"/>
        <v/>
      </c>
      <c r="AD18" s="125" t="str">
        <f t="shared" si="1"/>
        <v/>
      </c>
      <c r="AE18" s="126" t="str">
        <f t="shared" si="1"/>
        <v/>
      </c>
      <c r="AF18" s="26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</row>
    <row r="19" spans="1:162" x14ac:dyDescent="0.25">
      <c r="A19" s="2"/>
      <c r="B19" s="119" t="s">
        <v>24</v>
      </c>
      <c r="C19" s="120">
        <f>+'[1]PD con plantilla'!G17</f>
        <v>0</v>
      </c>
      <c r="D19" s="120" t="b">
        <f>IF($G$12="Femenino",HLOOKUP(C19,$AT$66:$EL$71,4),IF($G$12="Masculino",HLOOKUP(C19,$AT$55:$EL$60,4)))</f>
        <v>0</v>
      </c>
      <c r="E19" s="124" t="str">
        <f>IF($D$19=E16,"o","")</f>
        <v/>
      </c>
      <c r="F19" s="125" t="str">
        <f t="shared" ref="F19:AE19" si="2">IF($D$19=F16,"o","")</f>
        <v/>
      </c>
      <c r="G19" s="125" t="str">
        <f t="shared" si="2"/>
        <v/>
      </c>
      <c r="H19" s="125" t="str">
        <f t="shared" si="2"/>
        <v/>
      </c>
      <c r="I19" s="126" t="str">
        <f t="shared" si="2"/>
        <v/>
      </c>
      <c r="J19" s="124" t="str">
        <f t="shared" si="2"/>
        <v/>
      </c>
      <c r="K19" s="125" t="str">
        <f t="shared" si="2"/>
        <v/>
      </c>
      <c r="L19" s="125" t="str">
        <f t="shared" si="2"/>
        <v/>
      </c>
      <c r="M19" s="125" t="str">
        <f t="shared" si="2"/>
        <v/>
      </c>
      <c r="N19" s="126" t="str">
        <f t="shared" si="2"/>
        <v/>
      </c>
      <c r="O19" s="124" t="str">
        <f t="shared" si="2"/>
        <v/>
      </c>
      <c r="P19" s="125" t="str">
        <f t="shared" si="2"/>
        <v/>
      </c>
      <c r="Q19" s="125" t="str">
        <f t="shared" si="2"/>
        <v/>
      </c>
      <c r="R19" s="125" t="str">
        <f t="shared" si="2"/>
        <v/>
      </c>
      <c r="S19" s="125" t="str">
        <f t="shared" si="2"/>
        <v/>
      </c>
      <c r="T19" s="125" t="str">
        <f t="shared" si="2"/>
        <v/>
      </c>
      <c r="U19" s="126" t="str">
        <f t="shared" si="2"/>
        <v/>
      </c>
      <c r="V19" s="124" t="str">
        <f t="shared" si="2"/>
        <v/>
      </c>
      <c r="W19" s="125" t="str">
        <f t="shared" si="2"/>
        <v/>
      </c>
      <c r="X19" s="125" t="str">
        <f t="shared" si="2"/>
        <v/>
      </c>
      <c r="Y19" s="125" t="str">
        <f t="shared" si="2"/>
        <v/>
      </c>
      <c r="Z19" s="126" t="str">
        <f t="shared" si="2"/>
        <v/>
      </c>
      <c r="AA19" s="124" t="str">
        <f t="shared" si="2"/>
        <v/>
      </c>
      <c r="AB19" s="125" t="str">
        <f t="shared" si="2"/>
        <v/>
      </c>
      <c r="AC19" s="125" t="str">
        <f t="shared" si="2"/>
        <v/>
      </c>
      <c r="AD19" s="125" t="str">
        <f t="shared" si="2"/>
        <v/>
      </c>
      <c r="AE19" s="126" t="str">
        <f t="shared" si="2"/>
        <v/>
      </c>
      <c r="AF19" s="26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</row>
    <row r="20" spans="1:162" x14ac:dyDescent="0.25">
      <c r="A20" s="2"/>
      <c r="B20" s="119" t="s">
        <v>28</v>
      </c>
      <c r="C20" s="120">
        <f>+'[1]PD con plantilla'!G19</f>
        <v>0</v>
      </c>
      <c r="D20" s="120" t="b">
        <f>IF($G$12="Femenino",HLOOKUP(C20,$AT$66:$EL$71,5),IF($G$12="Masculino",HLOOKUP(C20,$AT$55:$EL$60,5)))</f>
        <v>0</v>
      </c>
      <c r="E20" s="127" t="str">
        <f>IF($D$20=E16,"o","")</f>
        <v/>
      </c>
      <c r="F20" s="128" t="str">
        <f t="shared" ref="F20:AE20" si="3">IF($D$20=F16,"o","")</f>
        <v/>
      </c>
      <c r="G20" s="128" t="str">
        <f t="shared" si="3"/>
        <v/>
      </c>
      <c r="H20" s="128" t="str">
        <f t="shared" si="3"/>
        <v/>
      </c>
      <c r="I20" s="129" t="str">
        <f t="shared" si="3"/>
        <v/>
      </c>
      <c r="J20" s="127" t="str">
        <f t="shared" si="3"/>
        <v/>
      </c>
      <c r="K20" s="128" t="str">
        <f t="shared" si="3"/>
        <v/>
      </c>
      <c r="L20" s="128" t="str">
        <f t="shared" si="3"/>
        <v/>
      </c>
      <c r="M20" s="128" t="str">
        <f t="shared" si="3"/>
        <v/>
      </c>
      <c r="N20" s="129" t="str">
        <f t="shared" si="3"/>
        <v/>
      </c>
      <c r="O20" s="127" t="str">
        <f t="shared" si="3"/>
        <v/>
      </c>
      <c r="P20" s="128" t="str">
        <f t="shared" si="3"/>
        <v/>
      </c>
      <c r="Q20" s="128" t="str">
        <f t="shared" si="3"/>
        <v/>
      </c>
      <c r="R20" s="128" t="str">
        <f t="shared" si="3"/>
        <v/>
      </c>
      <c r="S20" s="128" t="str">
        <f t="shared" si="3"/>
        <v/>
      </c>
      <c r="T20" s="128" t="str">
        <f t="shared" si="3"/>
        <v/>
      </c>
      <c r="U20" s="129" t="str">
        <f t="shared" si="3"/>
        <v/>
      </c>
      <c r="V20" s="127" t="str">
        <f t="shared" si="3"/>
        <v/>
      </c>
      <c r="W20" s="128" t="str">
        <f t="shared" si="3"/>
        <v/>
      </c>
      <c r="X20" s="128" t="str">
        <f t="shared" si="3"/>
        <v/>
      </c>
      <c r="Y20" s="128" t="str">
        <f t="shared" si="3"/>
        <v/>
      </c>
      <c r="Z20" s="129" t="str">
        <f t="shared" si="3"/>
        <v/>
      </c>
      <c r="AA20" s="127" t="str">
        <f t="shared" si="3"/>
        <v/>
      </c>
      <c r="AB20" s="128" t="str">
        <f t="shared" si="3"/>
        <v/>
      </c>
      <c r="AC20" s="128" t="str">
        <f t="shared" si="3"/>
        <v/>
      </c>
      <c r="AD20" s="128" t="str">
        <f t="shared" si="3"/>
        <v/>
      </c>
      <c r="AE20" s="129" t="str">
        <f t="shared" si="3"/>
        <v/>
      </c>
      <c r="AF20" s="26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</row>
    <row r="21" spans="1:162" x14ac:dyDescent="0.25">
      <c r="A21" s="2"/>
      <c r="B21" s="119" t="s">
        <v>32</v>
      </c>
      <c r="C21" s="120">
        <f>+'[1]PD con plantilla'!G21</f>
        <v>0</v>
      </c>
      <c r="D21" s="120" t="b">
        <f>IF($G$12="Femenino",HLOOKUP(C21,$AT$66:$EL$71,6),IF($G$12="Masculino",HLOOKUP(C21,$AT$55:$EL$60,6)))</f>
        <v>0</v>
      </c>
      <c r="E21" s="130" t="str">
        <f>IF($D$21=E16,"o","")</f>
        <v/>
      </c>
      <c r="F21" s="131" t="str">
        <f t="shared" ref="F21:AE21" si="4">IF($D$21=F16,"o","")</f>
        <v/>
      </c>
      <c r="G21" s="131" t="str">
        <f t="shared" si="4"/>
        <v/>
      </c>
      <c r="H21" s="131" t="str">
        <f t="shared" si="4"/>
        <v/>
      </c>
      <c r="I21" s="132" t="str">
        <f t="shared" si="4"/>
        <v/>
      </c>
      <c r="J21" s="130" t="str">
        <f t="shared" si="4"/>
        <v/>
      </c>
      <c r="K21" s="131" t="str">
        <f t="shared" si="4"/>
        <v/>
      </c>
      <c r="L21" s="131" t="str">
        <f t="shared" si="4"/>
        <v/>
      </c>
      <c r="M21" s="131" t="str">
        <f t="shared" si="4"/>
        <v/>
      </c>
      <c r="N21" s="132" t="str">
        <f t="shared" si="4"/>
        <v/>
      </c>
      <c r="O21" s="130" t="str">
        <f t="shared" si="4"/>
        <v/>
      </c>
      <c r="P21" s="131" t="str">
        <f t="shared" si="4"/>
        <v/>
      </c>
      <c r="Q21" s="131" t="str">
        <f t="shared" si="4"/>
        <v/>
      </c>
      <c r="R21" s="131" t="str">
        <f t="shared" si="4"/>
        <v/>
      </c>
      <c r="S21" s="131" t="str">
        <f t="shared" si="4"/>
        <v/>
      </c>
      <c r="T21" s="131" t="str">
        <f t="shared" si="4"/>
        <v/>
      </c>
      <c r="U21" s="132" t="str">
        <f t="shared" si="4"/>
        <v/>
      </c>
      <c r="V21" s="130" t="str">
        <f t="shared" si="4"/>
        <v/>
      </c>
      <c r="W21" s="131" t="str">
        <f t="shared" si="4"/>
        <v/>
      </c>
      <c r="X21" s="131" t="str">
        <f t="shared" si="4"/>
        <v/>
      </c>
      <c r="Y21" s="131" t="str">
        <f t="shared" si="4"/>
        <v/>
      </c>
      <c r="Z21" s="132" t="str">
        <f t="shared" si="4"/>
        <v/>
      </c>
      <c r="AA21" s="130" t="str">
        <f t="shared" si="4"/>
        <v/>
      </c>
      <c r="AB21" s="131" t="str">
        <f t="shared" si="4"/>
        <v/>
      </c>
      <c r="AC21" s="131" t="str">
        <f t="shared" si="4"/>
        <v/>
      </c>
      <c r="AD21" s="131" t="str">
        <f t="shared" si="4"/>
        <v/>
      </c>
      <c r="AE21" s="132" t="str">
        <f t="shared" si="4"/>
        <v/>
      </c>
      <c r="AF21" s="26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</row>
    <row r="22" spans="1:162" ht="15.75" thickBot="1" x14ac:dyDescent="0.3">
      <c r="A22" s="2"/>
      <c r="B22" s="119" t="s">
        <v>6</v>
      </c>
      <c r="C22" s="120">
        <f>+'[1]PD con plantilla'!E23</f>
        <v>0</v>
      </c>
      <c r="D22" s="120" t="b">
        <f>IF($G$12="Femenino",HLOOKUP(C22,$AT$39:$CP$50,12),IF($G$12="Masculino",HLOOKUP(C22,$AT$25:$CP$36,12)))</f>
        <v>0</v>
      </c>
      <c r="E22" s="133" t="str">
        <f>IF($D$22=E16,"o","")</f>
        <v/>
      </c>
      <c r="F22" s="134" t="str">
        <f t="shared" ref="F22:AE22" si="5">IF($D$22=F16,"o","")</f>
        <v/>
      </c>
      <c r="G22" s="134" t="str">
        <f t="shared" si="5"/>
        <v/>
      </c>
      <c r="H22" s="134" t="str">
        <f t="shared" si="5"/>
        <v/>
      </c>
      <c r="I22" s="135" t="str">
        <f t="shared" si="5"/>
        <v/>
      </c>
      <c r="J22" s="133" t="str">
        <f t="shared" si="5"/>
        <v/>
      </c>
      <c r="K22" s="134" t="str">
        <f t="shared" si="5"/>
        <v/>
      </c>
      <c r="L22" s="134" t="str">
        <f t="shared" si="5"/>
        <v/>
      </c>
      <c r="M22" s="134" t="str">
        <f t="shared" si="5"/>
        <v/>
      </c>
      <c r="N22" s="135" t="str">
        <f t="shared" si="5"/>
        <v/>
      </c>
      <c r="O22" s="133" t="str">
        <f t="shared" si="5"/>
        <v/>
      </c>
      <c r="P22" s="134" t="str">
        <f t="shared" si="5"/>
        <v/>
      </c>
      <c r="Q22" s="134" t="str">
        <f t="shared" si="5"/>
        <v/>
      </c>
      <c r="R22" s="134" t="str">
        <f t="shared" si="5"/>
        <v/>
      </c>
      <c r="S22" s="134" t="str">
        <f t="shared" si="5"/>
        <v/>
      </c>
      <c r="T22" s="134" t="str">
        <f t="shared" si="5"/>
        <v/>
      </c>
      <c r="U22" s="135" t="str">
        <f t="shared" si="5"/>
        <v/>
      </c>
      <c r="V22" s="133" t="str">
        <f t="shared" si="5"/>
        <v/>
      </c>
      <c r="W22" s="134" t="str">
        <f t="shared" si="5"/>
        <v/>
      </c>
      <c r="X22" s="134" t="str">
        <f t="shared" si="5"/>
        <v/>
      </c>
      <c r="Y22" s="134" t="str">
        <f t="shared" si="5"/>
        <v/>
      </c>
      <c r="Z22" s="135" t="str">
        <f t="shared" si="5"/>
        <v/>
      </c>
      <c r="AA22" s="133" t="str">
        <f t="shared" si="5"/>
        <v/>
      </c>
      <c r="AB22" s="134" t="str">
        <f t="shared" si="5"/>
        <v/>
      </c>
      <c r="AC22" s="134" t="str">
        <f t="shared" si="5"/>
        <v/>
      </c>
      <c r="AD22" s="134" t="str">
        <f t="shared" si="5"/>
        <v/>
      </c>
      <c r="AE22" s="135" t="str">
        <f t="shared" si="5"/>
        <v/>
      </c>
      <c r="AF22" s="26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</row>
    <row r="23" spans="1:162" ht="15.75" thickBot="1" x14ac:dyDescent="0.3">
      <c r="A23" s="2"/>
      <c r="B23" s="136" t="s">
        <v>323</v>
      </c>
      <c r="C23" s="137" t="s">
        <v>323</v>
      </c>
      <c r="D23" s="138" t="s">
        <v>324</v>
      </c>
      <c r="E23" s="139" t="s">
        <v>324</v>
      </c>
      <c r="F23" s="140" t="s">
        <v>324</v>
      </c>
      <c r="G23" s="140" t="s">
        <v>324</v>
      </c>
      <c r="H23" s="140" t="s">
        <v>324</v>
      </c>
      <c r="I23" s="141" t="s">
        <v>324</v>
      </c>
      <c r="J23" s="142" t="s">
        <v>324</v>
      </c>
      <c r="K23" s="140" t="s">
        <v>324</v>
      </c>
      <c r="L23" s="140" t="s">
        <v>324</v>
      </c>
      <c r="M23" s="140" t="s">
        <v>324</v>
      </c>
      <c r="N23" s="141" t="s">
        <v>324</v>
      </c>
      <c r="O23" s="142" t="s">
        <v>324</v>
      </c>
      <c r="P23" s="140" t="s">
        <v>324</v>
      </c>
      <c r="Q23" s="140" t="s">
        <v>324</v>
      </c>
      <c r="R23" s="140" t="s">
        <v>324</v>
      </c>
      <c r="S23" s="140" t="s">
        <v>324</v>
      </c>
      <c r="T23" s="140" t="s">
        <v>324</v>
      </c>
      <c r="U23" s="141" t="s">
        <v>324</v>
      </c>
      <c r="V23" s="142" t="s">
        <v>324</v>
      </c>
      <c r="W23" s="140" t="s">
        <v>324</v>
      </c>
      <c r="X23" s="140" t="s">
        <v>324</v>
      </c>
      <c r="Y23" s="140" t="s">
        <v>324</v>
      </c>
      <c r="Z23" s="141" t="s">
        <v>324</v>
      </c>
      <c r="AA23" s="142" t="s">
        <v>324</v>
      </c>
      <c r="AB23" s="140" t="s">
        <v>324</v>
      </c>
      <c r="AC23" s="140" t="s">
        <v>324</v>
      </c>
      <c r="AD23" s="140" t="s">
        <v>324</v>
      </c>
      <c r="AE23" s="143" t="s">
        <v>325</v>
      </c>
      <c r="AF23" s="26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</row>
    <row r="24" spans="1:162" x14ac:dyDescent="0.25">
      <c r="A24" s="2"/>
      <c r="B24" s="119" t="s">
        <v>326</v>
      </c>
      <c r="C24" s="120">
        <f>+'[1]PD con plantilla'!E13</f>
        <v>0</v>
      </c>
      <c r="D24" s="120" t="b">
        <f>IF($G$12="Femenino",HLOOKUP(C24,$AT$39:$CP$50,2),IF($G$12="Masculino",HLOOKUP(C24,$AT$25:$CP$36,2)))</f>
        <v>0</v>
      </c>
      <c r="E24" s="144" t="str">
        <f>IF($D$24=E16,"o","")</f>
        <v/>
      </c>
      <c r="F24" s="145" t="str">
        <f t="shared" ref="F24:AE24" si="6">IF($D$24=F16,"o","")</f>
        <v/>
      </c>
      <c r="G24" s="145" t="str">
        <f t="shared" si="6"/>
        <v/>
      </c>
      <c r="H24" s="145" t="str">
        <f t="shared" si="6"/>
        <v/>
      </c>
      <c r="I24" s="146" t="str">
        <f t="shared" si="6"/>
        <v/>
      </c>
      <c r="J24" s="144" t="str">
        <f t="shared" si="6"/>
        <v/>
      </c>
      <c r="K24" s="145" t="str">
        <f t="shared" si="6"/>
        <v/>
      </c>
      <c r="L24" s="145" t="str">
        <f t="shared" si="6"/>
        <v/>
      </c>
      <c r="M24" s="145" t="str">
        <f t="shared" si="6"/>
        <v/>
      </c>
      <c r="N24" s="146" t="str">
        <f t="shared" si="6"/>
        <v/>
      </c>
      <c r="O24" s="144" t="str">
        <f t="shared" si="6"/>
        <v/>
      </c>
      <c r="P24" s="145" t="str">
        <f t="shared" si="6"/>
        <v/>
      </c>
      <c r="Q24" s="145" t="str">
        <f t="shared" si="6"/>
        <v/>
      </c>
      <c r="R24" s="145" t="str">
        <f t="shared" si="6"/>
        <v/>
      </c>
      <c r="S24" s="145" t="str">
        <f t="shared" si="6"/>
        <v/>
      </c>
      <c r="T24" s="145" t="str">
        <f t="shared" si="6"/>
        <v/>
      </c>
      <c r="U24" s="146" t="str">
        <f t="shared" si="6"/>
        <v/>
      </c>
      <c r="V24" s="144" t="str">
        <f t="shared" si="6"/>
        <v/>
      </c>
      <c r="W24" s="145" t="str">
        <f t="shared" si="6"/>
        <v/>
      </c>
      <c r="X24" s="145" t="str">
        <f t="shared" si="6"/>
        <v/>
      </c>
      <c r="Y24" s="145" t="str">
        <f t="shared" si="6"/>
        <v/>
      </c>
      <c r="Z24" s="146" t="str">
        <f t="shared" si="6"/>
        <v/>
      </c>
      <c r="AA24" s="144" t="str">
        <f t="shared" si="6"/>
        <v/>
      </c>
      <c r="AB24" s="145" t="str">
        <f t="shared" si="6"/>
        <v/>
      </c>
      <c r="AC24" s="145" t="str">
        <f t="shared" si="6"/>
        <v/>
      </c>
      <c r="AD24" s="145" t="str">
        <f t="shared" si="6"/>
        <v/>
      </c>
      <c r="AE24" s="146" t="str">
        <f t="shared" si="6"/>
        <v/>
      </c>
      <c r="AF24" s="26"/>
      <c r="AS24" t="s">
        <v>327</v>
      </c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</row>
    <row r="25" spans="1:162" x14ac:dyDescent="0.25">
      <c r="A25" s="2"/>
      <c r="B25" s="119" t="s">
        <v>328</v>
      </c>
      <c r="C25" s="120">
        <f>+'[1]PD con plantilla'!E14</f>
        <v>0</v>
      </c>
      <c r="D25" s="120" t="b">
        <f>IF($G$12="Femenino",HLOOKUP(C25,$AT$39:$CP$50,3),IF($G$12="Masculino",HLOOKUP(C25,$AT$25:$CP$36,3)))</f>
        <v>0</v>
      </c>
      <c r="E25" s="130" t="str">
        <f>IF($D$25=E16,"o","")</f>
        <v/>
      </c>
      <c r="F25" s="131" t="str">
        <f t="shared" ref="F25:AE25" si="7">IF($D$25=F16,"o","")</f>
        <v/>
      </c>
      <c r="G25" s="131" t="str">
        <f t="shared" si="7"/>
        <v/>
      </c>
      <c r="H25" s="131" t="str">
        <f t="shared" si="7"/>
        <v/>
      </c>
      <c r="I25" s="132" t="str">
        <f t="shared" si="7"/>
        <v/>
      </c>
      <c r="J25" s="130" t="str">
        <f t="shared" si="7"/>
        <v/>
      </c>
      <c r="K25" s="131" t="str">
        <f t="shared" si="7"/>
        <v/>
      </c>
      <c r="L25" s="131" t="str">
        <f t="shared" si="7"/>
        <v/>
      </c>
      <c r="M25" s="131" t="str">
        <f t="shared" si="7"/>
        <v/>
      </c>
      <c r="N25" s="132" t="str">
        <f t="shared" si="7"/>
        <v/>
      </c>
      <c r="O25" s="130" t="str">
        <f t="shared" si="7"/>
        <v/>
      </c>
      <c r="P25" s="131" t="str">
        <f t="shared" si="7"/>
        <v/>
      </c>
      <c r="Q25" s="131" t="str">
        <f t="shared" si="7"/>
        <v/>
      </c>
      <c r="R25" s="131" t="str">
        <f t="shared" si="7"/>
        <v/>
      </c>
      <c r="S25" s="131" t="str">
        <f t="shared" si="7"/>
        <v/>
      </c>
      <c r="T25" s="131" t="str">
        <f t="shared" si="7"/>
        <v/>
      </c>
      <c r="U25" s="132" t="str">
        <f t="shared" si="7"/>
        <v/>
      </c>
      <c r="V25" s="130" t="str">
        <f t="shared" si="7"/>
        <v/>
      </c>
      <c r="W25" s="131" t="str">
        <f t="shared" si="7"/>
        <v/>
      </c>
      <c r="X25" s="131" t="str">
        <f t="shared" si="7"/>
        <v/>
      </c>
      <c r="Y25" s="131" t="str">
        <f t="shared" si="7"/>
        <v/>
      </c>
      <c r="Z25" s="132" t="str">
        <f t="shared" si="7"/>
        <v/>
      </c>
      <c r="AA25" s="130" t="str">
        <f t="shared" si="7"/>
        <v/>
      </c>
      <c r="AB25" s="131" t="str">
        <f t="shared" si="7"/>
        <v/>
      </c>
      <c r="AC25" s="131" t="str">
        <f t="shared" si="7"/>
        <v/>
      </c>
      <c r="AD25" s="131" t="str">
        <f t="shared" si="7"/>
        <v/>
      </c>
      <c r="AE25" s="132" t="str">
        <f t="shared" si="7"/>
        <v/>
      </c>
      <c r="AF25" s="26"/>
      <c r="AS25" t="s">
        <v>329</v>
      </c>
      <c r="AT25">
        <v>12</v>
      </c>
      <c r="AU25">
        <v>13</v>
      </c>
      <c r="AV25">
        <v>14</v>
      </c>
      <c r="AW25">
        <v>15</v>
      </c>
      <c r="AX25">
        <v>16</v>
      </c>
      <c r="AY25">
        <v>17</v>
      </c>
      <c r="AZ25">
        <v>18</v>
      </c>
      <c r="BA25">
        <v>19</v>
      </c>
      <c r="BB25">
        <v>20</v>
      </c>
      <c r="BC25">
        <v>21</v>
      </c>
      <c r="BD25">
        <v>22</v>
      </c>
      <c r="BE25">
        <v>23</v>
      </c>
      <c r="BF25">
        <v>24</v>
      </c>
      <c r="BG25">
        <v>25</v>
      </c>
      <c r="BH25">
        <v>26</v>
      </c>
      <c r="BI25">
        <v>27</v>
      </c>
      <c r="BJ25">
        <v>28</v>
      </c>
      <c r="BK25">
        <v>29</v>
      </c>
      <c r="BL25">
        <v>30</v>
      </c>
      <c r="BM25">
        <v>31</v>
      </c>
      <c r="BN25">
        <v>32</v>
      </c>
      <c r="BO25">
        <v>33</v>
      </c>
      <c r="BP25">
        <v>34</v>
      </c>
      <c r="BQ25">
        <v>35</v>
      </c>
      <c r="BR25">
        <v>36</v>
      </c>
      <c r="BS25">
        <v>37</v>
      </c>
      <c r="BT25">
        <v>38</v>
      </c>
      <c r="BU25">
        <v>39</v>
      </c>
      <c r="BV25">
        <v>40</v>
      </c>
      <c r="BW25">
        <v>41</v>
      </c>
      <c r="BX25">
        <v>42</v>
      </c>
      <c r="BY25">
        <v>43</v>
      </c>
      <c r="BZ25">
        <v>44</v>
      </c>
      <c r="CA25">
        <v>45</v>
      </c>
      <c r="CB25">
        <v>46</v>
      </c>
      <c r="CC25">
        <v>47</v>
      </c>
      <c r="CD25">
        <v>48</v>
      </c>
      <c r="CE25">
        <v>49</v>
      </c>
      <c r="CF25">
        <v>50</v>
      </c>
      <c r="CG25">
        <v>51</v>
      </c>
      <c r="CH25">
        <v>52</v>
      </c>
      <c r="CI25">
        <v>53</v>
      </c>
      <c r="CJ25">
        <v>54</v>
      </c>
      <c r="CK25">
        <v>55</v>
      </c>
      <c r="CL25">
        <v>56</v>
      </c>
      <c r="CM25">
        <v>57</v>
      </c>
      <c r="CN25">
        <v>58</v>
      </c>
      <c r="CO25">
        <v>59</v>
      </c>
      <c r="CP25">
        <v>60</v>
      </c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</row>
    <row r="26" spans="1:162" x14ac:dyDescent="0.25">
      <c r="A26" s="2"/>
      <c r="B26" s="119" t="s">
        <v>330</v>
      </c>
      <c r="C26" s="120">
        <f>+'[1]PD con plantilla'!E15</f>
        <v>0</v>
      </c>
      <c r="D26" s="120" t="b">
        <f>IF($G$12="Femenino",HLOOKUP(C26,$AT$39:$CP$50,4),IF($G$12="Masculino",HLOOKUP(C26,$AT$25:$CP$36,4)))</f>
        <v>0</v>
      </c>
      <c r="E26" s="127" t="str">
        <f>IF($D$26=E16,"o","")</f>
        <v/>
      </c>
      <c r="F26" s="128" t="str">
        <f t="shared" ref="F26:AE26" si="8">IF($D$26=F16,"o","")</f>
        <v/>
      </c>
      <c r="G26" s="128" t="str">
        <f t="shared" si="8"/>
        <v/>
      </c>
      <c r="H26" s="128" t="str">
        <f t="shared" si="8"/>
        <v/>
      </c>
      <c r="I26" s="129" t="str">
        <f t="shared" si="8"/>
        <v/>
      </c>
      <c r="J26" s="127" t="str">
        <f t="shared" si="8"/>
        <v/>
      </c>
      <c r="K26" s="128" t="str">
        <f t="shared" si="8"/>
        <v/>
      </c>
      <c r="L26" s="128" t="str">
        <f t="shared" si="8"/>
        <v/>
      </c>
      <c r="M26" s="128" t="str">
        <f t="shared" si="8"/>
        <v/>
      </c>
      <c r="N26" s="129" t="str">
        <f t="shared" si="8"/>
        <v/>
      </c>
      <c r="O26" s="127" t="str">
        <f t="shared" si="8"/>
        <v/>
      </c>
      <c r="P26" s="128" t="str">
        <f t="shared" si="8"/>
        <v/>
      </c>
      <c r="Q26" s="128" t="str">
        <f t="shared" si="8"/>
        <v/>
      </c>
      <c r="R26" s="128" t="str">
        <f t="shared" si="8"/>
        <v/>
      </c>
      <c r="S26" s="128" t="str">
        <f t="shared" si="8"/>
        <v/>
      </c>
      <c r="T26" s="128" t="str">
        <f t="shared" si="8"/>
        <v/>
      </c>
      <c r="U26" s="129" t="str">
        <f t="shared" si="8"/>
        <v/>
      </c>
      <c r="V26" s="127" t="str">
        <f t="shared" si="8"/>
        <v/>
      </c>
      <c r="W26" s="128" t="str">
        <f t="shared" si="8"/>
        <v/>
      </c>
      <c r="X26" s="128" t="str">
        <f t="shared" si="8"/>
        <v/>
      </c>
      <c r="Y26" s="128" t="str">
        <f t="shared" si="8"/>
        <v/>
      </c>
      <c r="Z26" s="129" t="str">
        <f t="shared" si="8"/>
        <v/>
      </c>
      <c r="AA26" s="127" t="str">
        <f t="shared" si="8"/>
        <v/>
      </c>
      <c r="AB26" s="128" t="str">
        <f t="shared" si="8"/>
        <v/>
      </c>
      <c r="AC26" s="128" t="str">
        <f t="shared" si="8"/>
        <v/>
      </c>
      <c r="AD26" s="128" t="str">
        <f t="shared" si="8"/>
        <v/>
      </c>
      <c r="AE26" s="129" t="str">
        <f t="shared" si="8"/>
        <v/>
      </c>
      <c r="AF26" s="26"/>
      <c r="AS26" t="s">
        <v>326</v>
      </c>
      <c r="AT26">
        <v>27</v>
      </c>
      <c r="AU26">
        <v>27</v>
      </c>
      <c r="AV26">
        <v>27</v>
      </c>
      <c r="AW26">
        <v>27</v>
      </c>
      <c r="AX26">
        <v>27</v>
      </c>
      <c r="AY26">
        <v>27</v>
      </c>
      <c r="AZ26">
        <v>27</v>
      </c>
      <c r="BA26">
        <v>27</v>
      </c>
      <c r="BB26">
        <v>27</v>
      </c>
      <c r="BC26">
        <v>27</v>
      </c>
      <c r="BD26">
        <v>27</v>
      </c>
      <c r="BE26">
        <v>27</v>
      </c>
      <c r="BF26">
        <v>27</v>
      </c>
      <c r="BG26">
        <v>27</v>
      </c>
      <c r="BH26">
        <v>27</v>
      </c>
      <c r="BI26">
        <v>29</v>
      </c>
      <c r="BJ26">
        <v>32</v>
      </c>
      <c r="BK26">
        <v>34</v>
      </c>
      <c r="BL26">
        <v>34</v>
      </c>
      <c r="BM26">
        <v>37</v>
      </c>
      <c r="BN26">
        <v>37</v>
      </c>
      <c r="BO26">
        <v>40</v>
      </c>
      <c r="BP26">
        <v>40</v>
      </c>
      <c r="BQ26">
        <v>42</v>
      </c>
      <c r="BR26">
        <v>43</v>
      </c>
      <c r="BS26">
        <v>44</v>
      </c>
      <c r="BT26">
        <v>47</v>
      </c>
      <c r="BU26">
        <v>49</v>
      </c>
      <c r="BV26">
        <v>51</v>
      </c>
      <c r="BW26">
        <v>53</v>
      </c>
      <c r="BX26">
        <v>54</v>
      </c>
      <c r="BY26">
        <v>56</v>
      </c>
      <c r="BZ26">
        <v>58</v>
      </c>
      <c r="CA26">
        <v>58</v>
      </c>
      <c r="CB26">
        <v>60</v>
      </c>
      <c r="CC26">
        <v>63</v>
      </c>
      <c r="CD26">
        <v>66</v>
      </c>
      <c r="CE26">
        <v>66</v>
      </c>
      <c r="CF26">
        <v>68</v>
      </c>
      <c r="CG26">
        <v>69</v>
      </c>
      <c r="CH26">
        <v>71</v>
      </c>
      <c r="CI26">
        <v>73</v>
      </c>
      <c r="CJ26">
        <v>73</v>
      </c>
      <c r="CK26">
        <v>73</v>
      </c>
      <c r="CL26">
        <v>73</v>
      </c>
      <c r="CM26">
        <v>73</v>
      </c>
      <c r="CN26">
        <v>73</v>
      </c>
      <c r="CO26">
        <v>73</v>
      </c>
      <c r="CP26">
        <v>73</v>
      </c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</row>
    <row r="27" spans="1:162" x14ac:dyDescent="0.25">
      <c r="A27" s="2"/>
      <c r="B27" s="119" t="s">
        <v>331</v>
      </c>
      <c r="C27" s="120">
        <f>+'[1]PD con plantilla'!E16</f>
        <v>0</v>
      </c>
      <c r="D27" s="120" t="b">
        <f>IF($G$12="Femenino",HLOOKUP(C27,$AT$39:$CP$50,5),IF($G$12="Masculino",HLOOKUP(C27,$AT$25:$CP$36,5)))</f>
        <v>0</v>
      </c>
      <c r="E27" s="127" t="str">
        <f>IF($D$27=E16,"o","")</f>
        <v/>
      </c>
      <c r="F27" s="128" t="str">
        <f t="shared" ref="F27:AE27" si="9">IF($D$27=F16,"o","")</f>
        <v/>
      </c>
      <c r="G27" s="128" t="str">
        <f t="shared" si="9"/>
        <v/>
      </c>
      <c r="H27" s="128" t="str">
        <f t="shared" si="9"/>
        <v/>
      </c>
      <c r="I27" s="129" t="str">
        <f t="shared" si="9"/>
        <v/>
      </c>
      <c r="J27" s="127" t="str">
        <f t="shared" si="9"/>
        <v/>
      </c>
      <c r="K27" s="128" t="str">
        <f t="shared" si="9"/>
        <v/>
      </c>
      <c r="L27" s="128" t="str">
        <f t="shared" si="9"/>
        <v/>
      </c>
      <c r="M27" s="128" t="str">
        <f t="shared" si="9"/>
        <v/>
      </c>
      <c r="N27" s="129" t="str">
        <f t="shared" si="9"/>
        <v/>
      </c>
      <c r="O27" s="127" t="str">
        <f t="shared" si="9"/>
        <v/>
      </c>
      <c r="P27" s="128" t="str">
        <f t="shared" si="9"/>
        <v/>
      </c>
      <c r="Q27" s="128" t="str">
        <f t="shared" si="9"/>
        <v/>
      </c>
      <c r="R27" s="128" t="str">
        <f t="shared" si="9"/>
        <v/>
      </c>
      <c r="S27" s="128" t="str">
        <f t="shared" si="9"/>
        <v/>
      </c>
      <c r="T27" s="128" t="str">
        <f t="shared" si="9"/>
        <v/>
      </c>
      <c r="U27" s="129" t="str">
        <f t="shared" si="9"/>
        <v/>
      </c>
      <c r="V27" s="127" t="str">
        <f t="shared" si="9"/>
        <v/>
      </c>
      <c r="W27" s="128" t="str">
        <f t="shared" si="9"/>
        <v/>
      </c>
      <c r="X27" s="128" t="str">
        <f t="shared" si="9"/>
        <v/>
      </c>
      <c r="Y27" s="128" t="str">
        <f t="shared" si="9"/>
        <v/>
      </c>
      <c r="Z27" s="129" t="str">
        <f t="shared" si="9"/>
        <v/>
      </c>
      <c r="AA27" s="127" t="str">
        <f t="shared" si="9"/>
        <v/>
      </c>
      <c r="AB27" s="128" t="str">
        <f t="shared" si="9"/>
        <v/>
      </c>
      <c r="AC27" s="128" t="str">
        <f t="shared" si="9"/>
        <v/>
      </c>
      <c r="AD27" s="128" t="str">
        <f t="shared" si="9"/>
        <v/>
      </c>
      <c r="AE27" s="129" t="str">
        <f t="shared" si="9"/>
        <v/>
      </c>
      <c r="AF27" s="26"/>
      <c r="AS27" t="s">
        <v>328</v>
      </c>
      <c r="AT27">
        <v>27</v>
      </c>
      <c r="AU27">
        <v>27</v>
      </c>
      <c r="AV27">
        <v>27</v>
      </c>
      <c r="AW27">
        <v>27</v>
      </c>
      <c r="AX27">
        <v>27</v>
      </c>
      <c r="AY27">
        <v>27</v>
      </c>
      <c r="AZ27">
        <v>27</v>
      </c>
      <c r="BA27">
        <v>27</v>
      </c>
      <c r="BB27">
        <v>27</v>
      </c>
      <c r="BC27">
        <v>27</v>
      </c>
      <c r="BD27">
        <v>27</v>
      </c>
      <c r="BE27">
        <v>29</v>
      </c>
      <c r="BF27">
        <v>29</v>
      </c>
      <c r="BG27">
        <v>31</v>
      </c>
      <c r="BH27">
        <v>32</v>
      </c>
      <c r="BI27">
        <v>34</v>
      </c>
      <c r="BJ27">
        <v>34</v>
      </c>
      <c r="BK27">
        <v>37</v>
      </c>
      <c r="BL27">
        <v>37</v>
      </c>
      <c r="BM27">
        <v>40</v>
      </c>
      <c r="BN27">
        <v>42</v>
      </c>
      <c r="BO27">
        <v>43</v>
      </c>
      <c r="BP27">
        <v>44</v>
      </c>
      <c r="BQ27">
        <v>47</v>
      </c>
      <c r="BR27">
        <v>49</v>
      </c>
      <c r="BS27">
        <v>51</v>
      </c>
      <c r="BT27">
        <v>53</v>
      </c>
      <c r="BU27">
        <v>54</v>
      </c>
      <c r="BV27">
        <v>57</v>
      </c>
      <c r="BW27">
        <v>58</v>
      </c>
      <c r="BX27">
        <v>60</v>
      </c>
      <c r="BY27">
        <v>60</v>
      </c>
      <c r="BZ27">
        <v>63</v>
      </c>
      <c r="CA27">
        <v>66</v>
      </c>
      <c r="CB27">
        <v>66</v>
      </c>
      <c r="CC27">
        <v>69</v>
      </c>
      <c r="CD27">
        <v>71</v>
      </c>
      <c r="CE27">
        <v>73</v>
      </c>
      <c r="CF27">
        <v>73</v>
      </c>
      <c r="CG27">
        <v>73</v>
      </c>
      <c r="CH27">
        <v>73</v>
      </c>
      <c r="CI27">
        <v>73</v>
      </c>
      <c r="CJ27">
        <v>73</v>
      </c>
      <c r="CK27">
        <v>73</v>
      </c>
      <c r="CL27">
        <v>73</v>
      </c>
      <c r="CM27">
        <v>73</v>
      </c>
      <c r="CN27">
        <v>73</v>
      </c>
      <c r="CO27">
        <v>73</v>
      </c>
      <c r="CP27">
        <v>73</v>
      </c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</row>
    <row r="28" spans="1:162" x14ac:dyDescent="0.25">
      <c r="A28" s="2"/>
      <c r="B28" s="119" t="s">
        <v>332</v>
      </c>
      <c r="C28" s="120">
        <f>+'[1]PD con plantilla'!E17</f>
        <v>0</v>
      </c>
      <c r="D28" s="120" t="b">
        <f>IF($G$12="Femenino",HLOOKUP(C28,$AT$39:$CP$50,6),IF($G$12="Masculino",HLOOKUP(C28,$AT$25:$CP$36,6)))</f>
        <v>0</v>
      </c>
      <c r="E28" s="127" t="str">
        <f>IF($D$28=E16,"o","")</f>
        <v/>
      </c>
      <c r="F28" s="128" t="str">
        <f t="shared" ref="F28:AE28" si="10">IF($D$28=F16,"o","")</f>
        <v/>
      </c>
      <c r="G28" s="128" t="str">
        <f t="shared" si="10"/>
        <v/>
      </c>
      <c r="H28" s="128" t="str">
        <f t="shared" si="10"/>
        <v/>
      </c>
      <c r="I28" s="129" t="str">
        <f t="shared" si="10"/>
        <v/>
      </c>
      <c r="J28" s="127" t="str">
        <f t="shared" si="10"/>
        <v/>
      </c>
      <c r="K28" s="128" t="str">
        <f t="shared" si="10"/>
        <v/>
      </c>
      <c r="L28" s="128" t="str">
        <f t="shared" si="10"/>
        <v/>
      </c>
      <c r="M28" s="128" t="str">
        <f t="shared" si="10"/>
        <v/>
      </c>
      <c r="N28" s="129" t="str">
        <f t="shared" si="10"/>
        <v/>
      </c>
      <c r="O28" s="127" t="str">
        <f t="shared" si="10"/>
        <v/>
      </c>
      <c r="P28" s="128" t="str">
        <f t="shared" si="10"/>
        <v/>
      </c>
      <c r="Q28" s="128" t="str">
        <f t="shared" si="10"/>
        <v/>
      </c>
      <c r="R28" s="128" t="str">
        <f t="shared" si="10"/>
        <v/>
      </c>
      <c r="S28" s="128" t="str">
        <f t="shared" si="10"/>
        <v/>
      </c>
      <c r="T28" s="128" t="str">
        <f t="shared" si="10"/>
        <v/>
      </c>
      <c r="U28" s="129" t="str">
        <f t="shared" si="10"/>
        <v/>
      </c>
      <c r="V28" s="127" t="str">
        <f t="shared" si="10"/>
        <v/>
      </c>
      <c r="W28" s="128" t="str">
        <f t="shared" si="10"/>
        <v/>
      </c>
      <c r="X28" s="128" t="str">
        <f t="shared" si="10"/>
        <v/>
      </c>
      <c r="Y28" s="128" t="str">
        <f t="shared" si="10"/>
        <v/>
      </c>
      <c r="Z28" s="129" t="str">
        <f t="shared" si="10"/>
        <v/>
      </c>
      <c r="AA28" s="127" t="str">
        <f t="shared" si="10"/>
        <v/>
      </c>
      <c r="AB28" s="128" t="str">
        <f t="shared" si="10"/>
        <v/>
      </c>
      <c r="AC28" s="128" t="str">
        <f t="shared" si="10"/>
        <v/>
      </c>
      <c r="AD28" s="128" t="str">
        <f t="shared" si="10"/>
        <v/>
      </c>
      <c r="AE28" s="129" t="str">
        <f t="shared" si="10"/>
        <v/>
      </c>
      <c r="AF28" s="26"/>
      <c r="AS28" t="s">
        <v>330</v>
      </c>
      <c r="AT28">
        <v>27</v>
      </c>
      <c r="AU28">
        <v>27</v>
      </c>
      <c r="AV28">
        <v>27</v>
      </c>
      <c r="AW28">
        <v>27</v>
      </c>
      <c r="AX28">
        <v>27</v>
      </c>
      <c r="AY28">
        <v>27</v>
      </c>
      <c r="AZ28">
        <v>27</v>
      </c>
      <c r="BA28">
        <v>27</v>
      </c>
      <c r="BB28">
        <v>27</v>
      </c>
      <c r="BC28">
        <v>27</v>
      </c>
      <c r="BD28">
        <v>27</v>
      </c>
      <c r="BE28">
        <v>27</v>
      </c>
      <c r="BF28">
        <v>27</v>
      </c>
      <c r="BG28">
        <v>27</v>
      </c>
      <c r="BH28">
        <v>27</v>
      </c>
      <c r="BI28">
        <v>27</v>
      </c>
      <c r="BJ28">
        <v>27</v>
      </c>
      <c r="BK28">
        <v>27</v>
      </c>
      <c r="BL28">
        <v>29</v>
      </c>
      <c r="BM28">
        <v>39</v>
      </c>
      <c r="BN28">
        <v>31</v>
      </c>
      <c r="BO28">
        <v>32</v>
      </c>
      <c r="BP28">
        <v>34</v>
      </c>
      <c r="BQ28">
        <v>34</v>
      </c>
      <c r="BR28">
        <v>37</v>
      </c>
      <c r="BS28">
        <v>40</v>
      </c>
      <c r="BT28">
        <v>42</v>
      </c>
      <c r="BU28">
        <v>43</v>
      </c>
      <c r="BV28">
        <v>44</v>
      </c>
      <c r="BW28">
        <v>46</v>
      </c>
      <c r="BX28">
        <v>49</v>
      </c>
      <c r="BY28">
        <v>50</v>
      </c>
      <c r="BZ28">
        <v>53</v>
      </c>
      <c r="CA28">
        <v>56</v>
      </c>
      <c r="CB28">
        <v>57</v>
      </c>
      <c r="CC28">
        <v>60</v>
      </c>
      <c r="CD28">
        <v>60</v>
      </c>
      <c r="CE28">
        <v>63</v>
      </c>
      <c r="CF28">
        <v>66</v>
      </c>
      <c r="CG28">
        <v>68</v>
      </c>
      <c r="CH28">
        <v>71</v>
      </c>
      <c r="CI28">
        <v>73</v>
      </c>
      <c r="CJ28">
        <v>73</v>
      </c>
      <c r="CK28">
        <v>73</v>
      </c>
      <c r="CL28">
        <v>73</v>
      </c>
      <c r="CM28">
        <v>73</v>
      </c>
      <c r="CN28">
        <v>73</v>
      </c>
      <c r="CO28">
        <v>73</v>
      </c>
      <c r="CP28">
        <v>73</v>
      </c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</row>
    <row r="29" spans="1:162" x14ac:dyDescent="0.25">
      <c r="A29" s="2"/>
      <c r="B29" s="119" t="s">
        <v>333</v>
      </c>
      <c r="C29" s="120">
        <f>+'[1]PD con plantilla'!E18</f>
        <v>0</v>
      </c>
      <c r="D29" s="120" t="b">
        <f>IF($G$12="Femenino",HLOOKUP(C29,$AT$39:$CP$50,7),IF($G$12="Masculino",HLOOKUP(C29,$AT$25:$CP$36,7)))</f>
        <v>0</v>
      </c>
      <c r="E29" s="127" t="str">
        <f>IF($D$29=E16,"o","")</f>
        <v/>
      </c>
      <c r="F29" s="128" t="str">
        <f t="shared" ref="F29:AE29" si="11">IF($D$29=F16,"o","")</f>
        <v/>
      </c>
      <c r="G29" s="128" t="str">
        <f t="shared" si="11"/>
        <v/>
      </c>
      <c r="H29" s="128" t="str">
        <f t="shared" si="11"/>
        <v/>
      </c>
      <c r="I29" s="129" t="str">
        <f t="shared" si="11"/>
        <v/>
      </c>
      <c r="J29" s="127" t="str">
        <f t="shared" si="11"/>
        <v/>
      </c>
      <c r="K29" s="128" t="str">
        <f t="shared" si="11"/>
        <v/>
      </c>
      <c r="L29" s="128" t="str">
        <f t="shared" si="11"/>
        <v/>
      </c>
      <c r="M29" s="128" t="str">
        <f t="shared" si="11"/>
        <v/>
      </c>
      <c r="N29" s="129" t="str">
        <f t="shared" si="11"/>
        <v/>
      </c>
      <c r="O29" s="127" t="str">
        <f t="shared" si="11"/>
        <v/>
      </c>
      <c r="P29" s="128" t="str">
        <f t="shared" si="11"/>
        <v/>
      </c>
      <c r="Q29" s="128" t="str">
        <f t="shared" si="11"/>
        <v/>
      </c>
      <c r="R29" s="128" t="str">
        <f t="shared" si="11"/>
        <v/>
      </c>
      <c r="S29" s="128" t="str">
        <f t="shared" si="11"/>
        <v/>
      </c>
      <c r="T29" s="128" t="str">
        <f t="shared" si="11"/>
        <v/>
      </c>
      <c r="U29" s="129" t="str">
        <f t="shared" si="11"/>
        <v/>
      </c>
      <c r="V29" s="127" t="str">
        <f t="shared" si="11"/>
        <v/>
      </c>
      <c r="W29" s="128" t="str">
        <f t="shared" si="11"/>
        <v/>
      </c>
      <c r="X29" s="128" t="str">
        <f t="shared" si="11"/>
        <v/>
      </c>
      <c r="Y29" s="128" t="str">
        <f t="shared" si="11"/>
        <v/>
      </c>
      <c r="Z29" s="129" t="str">
        <f t="shared" si="11"/>
        <v/>
      </c>
      <c r="AA29" s="127" t="str">
        <f t="shared" si="11"/>
        <v/>
      </c>
      <c r="AB29" s="128" t="str">
        <f t="shared" si="11"/>
        <v/>
      </c>
      <c r="AC29" s="128" t="str">
        <f t="shared" si="11"/>
        <v/>
      </c>
      <c r="AD29" s="128" t="str">
        <f t="shared" si="11"/>
        <v/>
      </c>
      <c r="AE29" s="129" t="str">
        <f t="shared" si="11"/>
        <v/>
      </c>
      <c r="AF29" s="26"/>
      <c r="AS29" t="s">
        <v>331</v>
      </c>
      <c r="AT29">
        <v>27</v>
      </c>
      <c r="AU29">
        <v>27</v>
      </c>
      <c r="AV29">
        <v>27</v>
      </c>
      <c r="AW29">
        <v>27</v>
      </c>
      <c r="AX29">
        <v>27</v>
      </c>
      <c r="AY29">
        <v>27</v>
      </c>
      <c r="AZ29">
        <v>27</v>
      </c>
      <c r="BA29">
        <v>27</v>
      </c>
      <c r="BB29">
        <v>27</v>
      </c>
      <c r="BC29">
        <v>27</v>
      </c>
      <c r="BD29">
        <v>27</v>
      </c>
      <c r="BE29">
        <v>27</v>
      </c>
      <c r="BF29">
        <v>27</v>
      </c>
      <c r="BG29">
        <v>27</v>
      </c>
      <c r="BH29">
        <v>27</v>
      </c>
      <c r="BI29">
        <v>29</v>
      </c>
      <c r="BJ29">
        <v>31</v>
      </c>
      <c r="BK29">
        <v>32</v>
      </c>
      <c r="BL29">
        <v>34</v>
      </c>
      <c r="BM29">
        <v>37</v>
      </c>
      <c r="BN29">
        <v>37</v>
      </c>
      <c r="BO29">
        <v>40</v>
      </c>
      <c r="BP29">
        <v>42</v>
      </c>
      <c r="BQ29">
        <v>43</v>
      </c>
      <c r="BR29">
        <v>44</v>
      </c>
      <c r="BS29">
        <v>47</v>
      </c>
      <c r="BT29">
        <v>49</v>
      </c>
      <c r="BU29">
        <v>51</v>
      </c>
      <c r="BV29">
        <v>53</v>
      </c>
      <c r="BW29">
        <v>56</v>
      </c>
      <c r="BX29">
        <v>57</v>
      </c>
      <c r="BY29">
        <v>58</v>
      </c>
      <c r="BZ29">
        <v>60</v>
      </c>
      <c r="CA29">
        <v>63</v>
      </c>
      <c r="CB29">
        <v>66</v>
      </c>
      <c r="CC29">
        <v>68</v>
      </c>
      <c r="CD29">
        <v>71</v>
      </c>
      <c r="CE29">
        <v>71</v>
      </c>
      <c r="CF29">
        <v>73</v>
      </c>
      <c r="CG29">
        <v>73</v>
      </c>
      <c r="CH29">
        <v>73</v>
      </c>
      <c r="CI29">
        <v>73</v>
      </c>
      <c r="CJ29">
        <v>73</v>
      </c>
      <c r="CK29">
        <v>73</v>
      </c>
      <c r="CL29">
        <v>73</v>
      </c>
      <c r="CM29">
        <v>73</v>
      </c>
      <c r="CN29">
        <v>73</v>
      </c>
      <c r="CO29">
        <v>73</v>
      </c>
      <c r="CP29">
        <v>73</v>
      </c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</row>
    <row r="30" spans="1:162" x14ac:dyDescent="0.25">
      <c r="A30" s="2"/>
      <c r="B30" s="119" t="s">
        <v>334</v>
      </c>
      <c r="C30" s="120">
        <f>+'[1]PD con plantilla'!E19</f>
        <v>0</v>
      </c>
      <c r="D30" s="120" t="b">
        <f>IF($G$12="Femenino",HLOOKUP(C30,$AT$39:$CP$50,8),IF($G$12="Masculino",HLOOKUP(C30,$AT$25:$CP$36,8)))</f>
        <v>0</v>
      </c>
      <c r="E30" s="127" t="str">
        <f>IF($D$30=E16,"o","")</f>
        <v/>
      </c>
      <c r="F30" s="128" t="str">
        <f t="shared" ref="F30:AE30" si="12">IF($D$30=F16,"o","")</f>
        <v/>
      </c>
      <c r="G30" s="128" t="str">
        <f t="shared" si="12"/>
        <v/>
      </c>
      <c r="H30" s="128" t="str">
        <f t="shared" si="12"/>
        <v/>
      </c>
      <c r="I30" s="129" t="str">
        <f t="shared" si="12"/>
        <v/>
      </c>
      <c r="J30" s="127" t="str">
        <f t="shared" si="12"/>
        <v/>
      </c>
      <c r="K30" s="128" t="str">
        <f t="shared" si="12"/>
        <v/>
      </c>
      <c r="L30" s="128" t="str">
        <f t="shared" si="12"/>
        <v/>
      </c>
      <c r="M30" s="128" t="str">
        <f t="shared" si="12"/>
        <v/>
      </c>
      <c r="N30" s="129" t="str">
        <f t="shared" si="12"/>
        <v/>
      </c>
      <c r="O30" s="127" t="str">
        <f t="shared" si="12"/>
        <v/>
      </c>
      <c r="P30" s="128" t="str">
        <f t="shared" si="12"/>
        <v/>
      </c>
      <c r="Q30" s="128" t="str">
        <f t="shared" si="12"/>
        <v/>
      </c>
      <c r="R30" s="128" t="str">
        <f t="shared" si="12"/>
        <v/>
      </c>
      <c r="S30" s="128" t="str">
        <f t="shared" si="12"/>
        <v/>
      </c>
      <c r="T30" s="128" t="str">
        <f t="shared" si="12"/>
        <v/>
      </c>
      <c r="U30" s="129" t="str">
        <f t="shared" si="12"/>
        <v/>
      </c>
      <c r="V30" s="127" t="str">
        <f t="shared" si="12"/>
        <v/>
      </c>
      <c r="W30" s="128" t="str">
        <f t="shared" si="12"/>
        <v/>
      </c>
      <c r="X30" s="128" t="str">
        <f t="shared" si="12"/>
        <v/>
      </c>
      <c r="Y30" s="128" t="str">
        <f t="shared" si="12"/>
        <v/>
      </c>
      <c r="Z30" s="129" t="str">
        <f t="shared" si="12"/>
        <v/>
      </c>
      <c r="AA30" s="127" t="str">
        <f t="shared" si="12"/>
        <v/>
      </c>
      <c r="AB30" s="128" t="str">
        <f t="shared" si="12"/>
        <v/>
      </c>
      <c r="AC30" s="128" t="str">
        <f t="shared" si="12"/>
        <v/>
      </c>
      <c r="AD30" s="128" t="str">
        <f t="shared" si="12"/>
        <v/>
      </c>
      <c r="AE30" s="129" t="str">
        <f t="shared" si="12"/>
        <v/>
      </c>
      <c r="AF30" s="26"/>
      <c r="AS30" t="s">
        <v>332</v>
      </c>
      <c r="AT30">
        <v>27</v>
      </c>
      <c r="AU30">
        <v>27</v>
      </c>
      <c r="AV30">
        <v>27</v>
      </c>
      <c r="AW30">
        <v>27</v>
      </c>
      <c r="AX30">
        <v>27</v>
      </c>
      <c r="AY30">
        <v>27</v>
      </c>
      <c r="AZ30">
        <v>27</v>
      </c>
      <c r="BA30">
        <v>27</v>
      </c>
      <c r="BB30">
        <v>27</v>
      </c>
      <c r="BC30">
        <v>27</v>
      </c>
      <c r="BD30">
        <v>27</v>
      </c>
      <c r="BE30">
        <v>27</v>
      </c>
      <c r="BF30">
        <v>29</v>
      </c>
      <c r="BG30">
        <v>29</v>
      </c>
      <c r="BH30">
        <v>31</v>
      </c>
      <c r="BI30">
        <v>32</v>
      </c>
      <c r="BJ30">
        <v>34</v>
      </c>
      <c r="BK30">
        <v>34</v>
      </c>
      <c r="BL30">
        <v>37</v>
      </c>
      <c r="BM30">
        <v>37</v>
      </c>
      <c r="BN30">
        <v>40</v>
      </c>
      <c r="BO30">
        <v>42</v>
      </c>
      <c r="BP30">
        <v>43</v>
      </c>
      <c r="BQ30">
        <v>44</v>
      </c>
      <c r="BR30">
        <v>46</v>
      </c>
      <c r="BS30">
        <v>47</v>
      </c>
      <c r="BT30">
        <v>49</v>
      </c>
      <c r="BU30">
        <v>51</v>
      </c>
      <c r="BV30">
        <v>53</v>
      </c>
      <c r="BW30">
        <v>54</v>
      </c>
      <c r="BX30">
        <v>57</v>
      </c>
      <c r="BY30">
        <v>58</v>
      </c>
      <c r="BZ30">
        <v>60</v>
      </c>
      <c r="CA30">
        <v>63</v>
      </c>
      <c r="CB30">
        <v>63</v>
      </c>
      <c r="CC30">
        <v>66</v>
      </c>
      <c r="CD30">
        <v>68</v>
      </c>
      <c r="CE30">
        <v>71</v>
      </c>
      <c r="CF30">
        <v>71</v>
      </c>
      <c r="CG30">
        <v>73</v>
      </c>
      <c r="CH30">
        <v>73</v>
      </c>
      <c r="CI30">
        <v>73</v>
      </c>
      <c r="CJ30">
        <v>73</v>
      </c>
      <c r="CK30">
        <v>73</v>
      </c>
      <c r="CL30">
        <v>73</v>
      </c>
      <c r="CM30">
        <v>73</v>
      </c>
      <c r="CN30">
        <v>73</v>
      </c>
      <c r="CO30">
        <v>73</v>
      </c>
      <c r="CP30">
        <v>73</v>
      </c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</row>
    <row r="31" spans="1:162" x14ac:dyDescent="0.25">
      <c r="A31" s="2"/>
      <c r="B31" s="119" t="s">
        <v>335</v>
      </c>
      <c r="C31" s="120">
        <f>+'[1]PD con plantilla'!E20</f>
        <v>0</v>
      </c>
      <c r="D31" s="120" t="b">
        <f>IF($G$12="Femenino",HLOOKUP(C31,$AT$39:$CP$50,9),IF($G$12="Masculino",HLOOKUP(C31,$AT$25:$CP$36,9)))</f>
        <v>0</v>
      </c>
      <c r="E31" s="127" t="str">
        <f>IF($D$31=E16,"o","")</f>
        <v/>
      </c>
      <c r="F31" s="128" t="str">
        <f t="shared" ref="F31:AE31" si="13">IF($D$31=F16,"o","")</f>
        <v/>
      </c>
      <c r="G31" s="128" t="str">
        <f t="shared" si="13"/>
        <v/>
      </c>
      <c r="H31" s="128" t="str">
        <f t="shared" si="13"/>
        <v/>
      </c>
      <c r="I31" s="129" t="str">
        <f t="shared" si="13"/>
        <v/>
      </c>
      <c r="J31" s="127" t="str">
        <f t="shared" si="13"/>
        <v/>
      </c>
      <c r="K31" s="128" t="str">
        <f t="shared" si="13"/>
        <v/>
      </c>
      <c r="L31" s="128" t="str">
        <f t="shared" si="13"/>
        <v/>
      </c>
      <c r="M31" s="128" t="str">
        <f t="shared" si="13"/>
        <v/>
      </c>
      <c r="N31" s="129" t="str">
        <f t="shared" si="13"/>
        <v/>
      </c>
      <c r="O31" s="127" t="str">
        <f t="shared" si="13"/>
        <v/>
      </c>
      <c r="P31" s="128" t="str">
        <f t="shared" si="13"/>
        <v/>
      </c>
      <c r="Q31" s="128" t="str">
        <f t="shared" si="13"/>
        <v/>
      </c>
      <c r="R31" s="128" t="str">
        <f t="shared" si="13"/>
        <v/>
      </c>
      <c r="S31" s="128" t="str">
        <f t="shared" si="13"/>
        <v/>
      </c>
      <c r="T31" s="128" t="str">
        <f t="shared" si="13"/>
        <v/>
      </c>
      <c r="U31" s="129" t="str">
        <f t="shared" si="13"/>
        <v/>
      </c>
      <c r="V31" s="127" t="str">
        <f t="shared" si="13"/>
        <v/>
      </c>
      <c r="W31" s="128" t="str">
        <f t="shared" si="13"/>
        <v/>
      </c>
      <c r="X31" s="128" t="str">
        <f t="shared" si="13"/>
        <v/>
      </c>
      <c r="Y31" s="128" t="str">
        <f t="shared" si="13"/>
        <v/>
      </c>
      <c r="Z31" s="129" t="str">
        <f t="shared" si="13"/>
        <v/>
      </c>
      <c r="AA31" s="127" t="str">
        <f t="shared" si="13"/>
        <v/>
      </c>
      <c r="AB31" s="128" t="str">
        <f t="shared" si="13"/>
        <v/>
      </c>
      <c r="AC31" s="128" t="str">
        <f t="shared" si="13"/>
        <v/>
      </c>
      <c r="AD31" s="128" t="str">
        <f t="shared" si="13"/>
        <v/>
      </c>
      <c r="AE31" s="129" t="str">
        <f t="shared" si="13"/>
        <v/>
      </c>
      <c r="AF31" s="26"/>
      <c r="AS31" t="s">
        <v>333</v>
      </c>
      <c r="AT31">
        <v>27</v>
      </c>
      <c r="AU31">
        <v>27</v>
      </c>
      <c r="AV31">
        <v>27</v>
      </c>
      <c r="AW31">
        <v>27</v>
      </c>
      <c r="AX31">
        <v>27</v>
      </c>
      <c r="AY31">
        <v>27</v>
      </c>
      <c r="AZ31">
        <v>27</v>
      </c>
      <c r="BA31">
        <v>27</v>
      </c>
      <c r="BB31">
        <v>27</v>
      </c>
      <c r="BC31">
        <v>27</v>
      </c>
      <c r="BD31">
        <v>27</v>
      </c>
      <c r="BE31">
        <v>27</v>
      </c>
      <c r="BF31">
        <v>27</v>
      </c>
      <c r="BG31">
        <v>27</v>
      </c>
      <c r="BH31">
        <v>27</v>
      </c>
      <c r="BI31">
        <v>29</v>
      </c>
      <c r="BJ31">
        <v>29</v>
      </c>
      <c r="BK31">
        <v>31</v>
      </c>
      <c r="BL31">
        <v>31</v>
      </c>
      <c r="BM31">
        <v>32</v>
      </c>
      <c r="BN31">
        <v>34</v>
      </c>
      <c r="BO31">
        <v>37</v>
      </c>
      <c r="BP31">
        <v>37</v>
      </c>
      <c r="BQ31">
        <v>40</v>
      </c>
      <c r="BR31">
        <v>42</v>
      </c>
      <c r="BS31">
        <v>43</v>
      </c>
      <c r="BT31">
        <v>44</v>
      </c>
      <c r="BU31">
        <v>46</v>
      </c>
      <c r="BV31">
        <v>47</v>
      </c>
      <c r="BW31">
        <v>49</v>
      </c>
      <c r="BX31">
        <v>51</v>
      </c>
      <c r="BY31">
        <v>53</v>
      </c>
      <c r="BZ31">
        <v>54</v>
      </c>
      <c r="CA31">
        <v>57</v>
      </c>
      <c r="CB31">
        <v>58</v>
      </c>
      <c r="CC31">
        <v>60</v>
      </c>
      <c r="CD31">
        <v>60</v>
      </c>
      <c r="CE31">
        <v>63</v>
      </c>
      <c r="CF31">
        <v>66</v>
      </c>
      <c r="CG31">
        <v>66</v>
      </c>
      <c r="CH31">
        <v>66</v>
      </c>
      <c r="CI31">
        <v>69</v>
      </c>
      <c r="CJ31">
        <v>69</v>
      </c>
      <c r="CK31">
        <v>71</v>
      </c>
      <c r="CL31">
        <v>73</v>
      </c>
      <c r="CM31">
        <v>73</v>
      </c>
      <c r="CN31">
        <v>73</v>
      </c>
      <c r="CO31">
        <v>73</v>
      </c>
      <c r="CP31">
        <v>73</v>
      </c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</row>
    <row r="32" spans="1:162" x14ac:dyDescent="0.25">
      <c r="A32" s="2"/>
      <c r="B32" s="119" t="s">
        <v>336</v>
      </c>
      <c r="C32" s="120">
        <f>+'[1]PD con plantilla'!E21</f>
        <v>0</v>
      </c>
      <c r="D32" s="120" t="b">
        <f>IF($G$12="Femenino",HLOOKUP(C32,$AT$39:$CP$50,10),IF($G$12="Masculino",HLOOKUP(C32,$AT$25:$CP$36,10)))</f>
        <v>0</v>
      </c>
      <c r="E32" s="127" t="str">
        <f>IF($D$32=E16,"o","")</f>
        <v/>
      </c>
      <c r="F32" s="128" t="str">
        <f t="shared" ref="F32:AE32" si="14">IF($D$32=F16,"o","")</f>
        <v/>
      </c>
      <c r="G32" s="128" t="str">
        <f t="shared" si="14"/>
        <v/>
      </c>
      <c r="H32" s="128" t="str">
        <f t="shared" si="14"/>
        <v/>
      </c>
      <c r="I32" s="129" t="str">
        <f t="shared" si="14"/>
        <v/>
      </c>
      <c r="J32" s="127" t="str">
        <f t="shared" si="14"/>
        <v/>
      </c>
      <c r="K32" s="128" t="str">
        <f t="shared" si="14"/>
        <v/>
      </c>
      <c r="L32" s="128" t="str">
        <f t="shared" si="14"/>
        <v/>
      </c>
      <c r="M32" s="128" t="str">
        <f t="shared" si="14"/>
        <v/>
      </c>
      <c r="N32" s="129" t="str">
        <f t="shared" si="14"/>
        <v/>
      </c>
      <c r="O32" s="127" t="str">
        <f t="shared" si="14"/>
        <v/>
      </c>
      <c r="P32" s="128" t="str">
        <f t="shared" si="14"/>
        <v/>
      </c>
      <c r="Q32" s="128" t="str">
        <f t="shared" si="14"/>
        <v/>
      </c>
      <c r="R32" s="128" t="str">
        <f t="shared" si="14"/>
        <v/>
      </c>
      <c r="S32" s="128" t="str">
        <f t="shared" si="14"/>
        <v/>
      </c>
      <c r="T32" s="128" t="str">
        <f t="shared" si="14"/>
        <v/>
      </c>
      <c r="U32" s="129" t="str">
        <f t="shared" si="14"/>
        <v/>
      </c>
      <c r="V32" s="127" t="str">
        <f t="shared" si="14"/>
        <v/>
      </c>
      <c r="W32" s="128" t="str">
        <f t="shared" si="14"/>
        <v/>
      </c>
      <c r="X32" s="128" t="str">
        <f t="shared" si="14"/>
        <v/>
      </c>
      <c r="Y32" s="128" t="str">
        <f t="shared" si="14"/>
        <v/>
      </c>
      <c r="Z32" s="129" t="str">
        <f t="shared" si="14"/>
        <v/>
      </c>
      <c r="AA32" s="127" t="str">
        <f t="shared" si="14"/>
        <v/>
      </c>
      <c r="AB32" s="128" t="str">
        <f t="shared" si="14"/>
        <v/>
      </c>
      <c r="AC32" s="128" t="str">
        <f t="shared" si="14"/>
        <v/>
      </c>
      <c r="AD32" s="128" t="str">
        <f t="shared" si="14"/>
        <v/>
      </c>
      <c r="AE32" s="129" t="str">
        <f t="shared" si="14"/>
        <v/>
      </c>
      <c r="AF32" s="26"/>
      <c r="AS32" t="s">
        <v>334</v>
      </c>
      <c r="AT32">
        <v>27</v>
      </c>
      <c r="AU32">
        <v>27</v>
      </c>
      <c r="AV32">
        <v>27</v>
      </c>
      <c r="AW32">
        <v>27</v>
      </c>
      <c r="AX32">
        <v>27</v>
      </c>
      <c r="AY32">
        <v>27</v>
      </c>
      <c r="AZ32">
        <v>27</v>
      </c>
      <c r="BA32">
        <v>29</v>
      </c>
      <c r="BB32">
        <v>29</v>
      </c>
      <c r="BC32">
        <v>31</v>
      </c>
      <c r="BD32">
        <v>32</v>
      </c>
      <c r="BE32">
        <v>34</v>
      </c>
      <c r="BF32">
        <v>34</v>
      </c>
      <c r="BG32">
        <v>37</v>
      </c>
      <c r="BH32">
        <v>37</v>
      </c>
      <c r="BI32">
        <v>40</v>
      </c>
      <c r="BJ32">
        <v>40</v>
      </c>
      <c r="BK32">
        <v>42</v>
      </c>
      <c r="BL32">
        <v>42</v>
      </c>
      <c r="BM32">
        <v>43</v>
      </c>
      <c r="BN32">
        <v>44</v>
      </c>
      <c r="BO32">
        <v>46</v>
      </c>
      <c r="BP32">
        <v>47</v>
      </c>
      <c r="BQ32">
        <v>49</v>
      </c>
      <c r="BR32">
        <v>50</v>
      </c>
      <c r="BS32">
        <v>53</v>
      </c>
      <c r="BT32">
        <v>54</v>
      </c>
      <c r="BU32">
        <v>56</v>
      </c>
      <c r="BV32">
        <v>57</v>
      </c>
      <c r="BW32">
        <v>58</v>
      </c>
      <c r="BX32">
        <v>60</v>
      </c>
      <c r="BY32">
        <v>60</v>
      </c>
      <c r="BZ32">
        <v>63</v>
      </c>
      <c r="CA32">
        <v>63</v>
      </c>
      <c r="CB32">
        <v>66</v>
      </c>
      <c r="CC32">
        <v>68</v>
      </c>
      <c r="CD32">
        <v>69</v>
      </c>
      <c r="CE32">
        <v>69</v>
      </c>
      <c r="CF32">
        <v>71</v>
      </c>
      <c r="CG32">
        <v>73</v>
      </c>
      <c r="CH32">
        <v>73</v>
      </c>
      <c r="CI32">
        <v>73</v>
      </c>
      <c r="CJ32">
        <v>73</v>
      </c>
      <c r="CK32">
        <v>73</v>
      </c>
      <c r="CL32">
        <v>73</v>
      </c>
      <c r="CM32">
        <v>73</v>
      </c>
      <c r="CN32">
        <v>73</v>
      </c>
      <c r="CO32">
        <v>73</v>
      </c>
      <c r="CP32">
        <v>73</v>
      </c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</row>
    <row r="33" spans="1:162" ht="15.75" thickBot="1" x14ac:dyDescent="0.3">
      <c r="A33" s="2"/>
      <c r="B33" s="147" t="s">
        <v>337</v>
      </c>
      <c r="C33" s="148">
        <f>+'[1]PD con plantilla'!E22</f>
        <v>0</v>
      </c>
      <c r="D33" s="148" t="b">
        <f>IF($G$12="Femenino",HLOOKUP(C33,$AT$39:$CP$50,11),IF($G$12="Masculino",HLOOKUP(C33,$AT$25:$CP$36,11)))</f>
        <v>0</v>
      </c>
      <c r="E33" s="149" t="str">
        <f>IF($D$33=E16,"o","")</f>
        <v/>
      </c>
      <c r="F33" s="150" t="str">
        <f t="shared" ref="F33:AE33" si="15">IF($D$33=F16,"o","")</f>
        <v/>
      </c>
      <c r="G33" s="150" t="str">
        <f t="shared" si="15"/>
        <v/>
      </c>
      <c r="H33" s="150" t="str">
        <f t="shared" si="15"/>
        <v/>
      </c>
      <c r="I33" s="151" t="str">
        <f t="shared" si="15"/>
        <v/>
      </c>
      <c r="J33" s="149" t="str">
        <f t="shared" si="15"/>
        <v/>
      </c>
      <c r="K33" s="150" t="str">
        <f t="shared" si="15"/>
        <v/>
      </c>
      <c r="L33" s="150" t="str">
        <f t="shared" si="15"/>
        <v/>
      </c>
      <c r="M33" s="150" t="str">
        <f t="shared" si="15"/>
        <v/>
      </c>
      <c r="N33" s="151" t="str">
        <f t="shared" si="15"/>
        <v/>
      </c>
      <c r="O33" s="149" t="str">
        <f t="shared" si="15"/>
        <v/>
      </c>
      <c r="P33" s="150" t="str">
        <f t="shared" si="15"/>
        <v/>
      </c>
      <c r="Q33" s="150" t="str">
        <f t="shared" si="15"/>
        <v/>
      </c>
      <c r="R33" s="150" t="str">
        <f t="shared" si="15"/>
        <v/>
      </c>
      <c r="S33" s="150" t="str">
        <f t="shared" si="15"/>
        <v/>
      </c>
      <c r="T33" s="150" t="str">
        <f t="shared" si="15"/>
        <v/>
      </c>
      <c r="U33" s="151" t="str">
        <f t="shared" si="15"/>
        <v/>
      </c>
      <c r="V33" s="149" t="str">
        <f t="shared" si="15"/>
        <v/>
      </c>
      <c r="W33" s="150" t="str">
        <f t="shared" si="15"/>
        <v/>
      </c>
      <c r="X33" s="150" t="str">
        <f t="shared" si="15"/>
        <v/>
      </c>
      <c r="Y33" s="150" t="str">
        <f t="shared" si="15"/>
        <v/>
      </c>
      <c r="Z33" s="151" t="str">
        <f t="shared" si="15"/>
        <v/>
      </c>
      <c r="AA33" s="149" t="str">
        <f t="shared" si="15"/>
        <v/>
      </c>
      <c r="AB33" s="150" t="str">
        <f t="shared" si="15"/>
        <v/>
      </c>
      <c r="AC33" s="150" t="str">
        <f t="shared" si="15"/>
        <v/>
      </c>
      <c r="AD33" s="150" t="str">
        <f t="shared" si="15"/>
        <v/>
      </c>
      <c r="AE33" s="151" t="str">
        <f t="shared" si="15"/>
        <v/>
      </c>
      <c r="AF33" s="26"/>
      <c r="AS33" t="s">
        <v>335</v>
      </c>
      <c r="AT33">
        <v>27</v>
      </c>
      <c r="AU33">
        <v>27</v>
      </c>
      <c r="AV33">
        <v>27</v>
      </c>
      <c r="AW33">
        <v>27</v>
      </c>
      <c r="AX33">
        <v>27</v>
      </c>
      <c r="AY33">
        <v>27</v>
      </c>
      <c r="AZ33">
        <v>27</v>
      </c>
      <c r="BA33">
        <v>29</v>
      </c>
      <c r="BB33">
        <v>29</v>
      </c>
      <c r="BC33">
        <v>31</v>
      </c>
      <c r="BD33">
        <v>34</v>
      </c>
      <c r="BE33">
        <v>34</v>
      </c>
      <c r="BF33">
        <v>37</v>
      </c>
      <c r="BG33">
        <v>37</v>
      </c>
      <c r="BH33">
        <v>40</v>
      </c>
      <c r="BI33">
        <v>40</v>
      </c>
      <c r="BJ33">
        <v>42</v>
      </c>
      <c r="BK33">
        <v>43</v>
      </c>
      <c r="BL33">
        <v>44</v>
      </c>
      <c r="BM33">
        <v>46</v>
      </c>
      <c r="BN33">
        <v>47</v>
      </c>
      <c r="BO33">
        <v>49</v>
      </c>
      <c r="BP33">
        <v>50</v>
      </c>
      <c r="BQ33">
        <v>53</v>
      </c>
      <c r="BR33">
        <v>54</v>
      </c>
      <c r="BS33">
        <v>54</v>
      </c>
      <c r="BT33">
        <v>56</v>
      </c>
      <c r="BU33">
        <v>57</v>
      </c>
      <c r="BV33">
        <v>58</v>
      </c>
      <c r="BW33">
        <v>60</v>
      </c>
      <c r="BX33">
        <v>60</v>
      </c>
      <c r="BY33">
        <v>63</v>
      </c>
      <c r="BZ33">
        <v>63</v>
      </c>
      <c r="CA33">
        <v>66</v>
      </c>
      <c r="CB33">
        <v>68</v>
      </c>
      <c r="CC33">
        <v>69</v>
      </c>
      <c r="CD33">
        <v>71</v>
      </c>
      <c r="CE33">
        <v>71</v>
      </c>
      <c r="CF33">
        <v>73</v>
      </c>
      <c r="CG33">
        <v>73</v>
      </c>
      <c r="CH33">
        <v>73</v>
      </c>
      <c r="CI33">
        <v>73</v>
      </c>
      <c r="CJ33">
        <v>73</v>
      </c>
      <c r="CK33">
        <v>73</v>
      </c>
      <c r="CL33">
        <v>73</v>
      </c>
      <c r="CM33">
        <v>73</v>
      </c>
      <c r="CN33">
        <v>73</v>
      </c>
      <c r="CO33">
        <v>73</v>
      </c>
      <c r="CP33">
        <v>73</v>
      </c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</row>
    <row r="34" spans="1:162" ht="15.75" thickTop="1" x14ac:dyDescent="0.25">
      <c r="A34" s="2"/>
      <c r="B34" s="86"/>
      <c r="E34" s="152">
        <v>27</v>
      </c>
      <c r="F34" s="153">
        <v>29</v>
      </c>
      <c r="G34" s="153">
        <v>31</v>
      </c>
      <c r="H34" s="153">
        <v>32</v>
      </c>
      <c r="I34" s="154">
        <v>34</v>
      </c>
      <c r="J34" s="152">
        <v>37</v>
      </c>
      <c r="K34" s="153">
        <v>40</v>
      </c>
      <c r="L34" s="153">
        <v>42</v>
      </c>
      <c r="M34" s="153">
        <v>43</v>
      </c>
      <c r="N34" s="154">
        <v>44</v>
      </c>
      <c r="O34" s="152">
        <v>46</v>
      </c>
      <c r="P34" s="153">
        <v>47</v>
      </c>
      <c r="Q34" s="153">
        <v>49</v>
      </c>
      <c r="R34" s="153">
        <v>50</v>
      </c>
      <c r="S34" s="153">
        <v>51</v>
      </c>
      <c r="T34" s="153">
        <v>53</v>
      </c>
      <c r="U34" s="154">
        <v>54</v>
      </c>
      <c r="V34" s="152">
        <v>56</v>
      </c>
      <c r="W34" s="153">
        <v>57</v>
      </c>
      <c r="X34" s="153">
        <v>58</v>
      </c>
      <c r="Y34" s="153">
        <v>60</v>
      </c>
      <c r="Z34" s="154">
        <v>63</v>
      </c>
      <c r="AA34" s="152">
        <v>66</v>
      </c>
      <c r="AB34" s="153">
        <v>68</v>
      </c>
      <c r="AC34" s="153">
        <v>69</v>
      </c>
      <c r="AD34" s="153">
        <v>71</v>
      </c>
      <c r="AE34" s="154">
        <v>73</v>
      </c>
      <c r="AF34" s="26"/>
      <c r="AS34" t="s">
        <v>336</v>
      </c>
      <c r="AT34">
        <v>27</v>
      </c>
      <c r="AU34">
        <v>27</v>
      </c>
      <c r="AV34">
        <v>27</v>
      </c>
      <c r="AW34">
        <v>27</v>
      </c>
      <c r="AX34">
        <v>27</v>
      </c>
      <c r="AY34">
        <v>27</v>
      </c>
      <c r="AZ34">
        <v>27</v>
      </c>
      <c r="BA34">
        <v>27</v>
      </c>
      <c r="BB34">
        <v>27</v>
      </c>
      <c r="BC34">
        <v>27</v>
      </c>
      <c r="BD34">
        <v>27</v>
      </c>
      <c r="BE34">
        <v>27</v>
      </c>
      <c r="BF34">
        <v>27</v>
      </c>
      <c r="BG34">
        <v>29</v>
      </c>
      <c r="BH34">
        <v>29</v>
      </c>
      <c r="BI34">
        <v>31</v>
      </c>
      <c r="BJ34">
        <v>31</v>
      </c>
      <c r="BK34">
        <v>32</v>
      </c>
      <c r="BL34">
        <v>34</v>
      </c>
      <c r="BM34">
        <v>34</v>
      </c>
      <c r="BN34">
        <v>37</v>
      </c>
      <c r="BO34">
        <v>37</v>
      </c>
      <c r="BP34">
        <v>40</v>
      </c>
      <c r="BQ34">
        <v>42</v>
      </c>
      <c r="BR34">
        <v>42</v>
      </c>
      <c r="BS34">
        <v>43</v>
      </c>
      <c r="BT34">
        <v>44</v>
      </c>
      <c r="BU34">
        <v>46</v>
      </c>
      <c r="BV34">
        <v>47</v>
      </c>
      <c r="BW34">
        <v>49</v>
      </c>
      <c r="BX34">
        <v>51</v>
      </c>
      <c r="BY34">
        <v>53</v>
      </c>
      <c r="BZ34">
        <v>54</v>
      </c>
      <c r="CA34">
        <v>56</v>
      </c>
      <c r="CB34">
        <v>57</v>
      </c>
      <c r="CC34">
        <v>58</v>
      </c>
      <c r="CD34">
        <v>60</v>
      </c>
      <c r="CE34">
        <v>60</v>
      </c>
      <c r="CF34">
        <v>63</v>
      </c>
      <c r="CG34">
        <v>66</v>
      </c>
      <c r="CH34">
        <v>66</v>
      </c>
      <c r="CI34">
        <v>68</v>
      </c>
      <c r="CJ34">
        <v>69</v>
      </c>
      <c r="CK34">
        <v>71</v>
      </c>
      <c r="CL34">
        <v>73</v>
      </c>
      <c r="CM34">
        <v>73</v>
      </c>
      <c r="CN34">
        <v>73</v>
      </c>
      <c r="CO34">
        <v>73</v>
      </c>
      <c r="CP34">
        <v>73</v>
      </c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</row>
    <row r="35" spans="1:162" x14ac:dyDescent="0.25">
      <c r="A35" s="2"/>
      <c r="B35" s="86"/>
      <c r="E35" s="111" t="s">
        <v>316</v>
      </c>
      <c r="F35" s="112"/>
      <c r="G35" s="112"/>
      <c r="H35" s="112"/>
      <c r="I35" s="113"/>
      <c r="J35" s="111" t="s">
        <v>317</v>
      </c>
      <c r="K35" s="112"/>
      <c r="L35" s="112"/>
      <c r="M35" s="112"/>
      <c r="N35" s="113"/>
      <c r="O35" s="111" t="s">
        <v>318</v>
      </c>
      <c r="P35" s="112"/>
      <c r="Q35" s="112"/>
      <c r="R35" s="112"/>
      <c r="S35" s="112"/>
      <c r="T35" s="112"/>
      <c r="U35" s="113"/>
      <c r="V35" s="111" t="s">
        <v>319</v>
      </c>
      <c r="W35" s="112"/>
      <c r="X35" s="112"/>
      <c r="Y35" s="112"/>
      <c r="Z35" s="113"/>
      <c r="AA35" s="111" t="s">
        <v>320</v>
      </c>
      <c r="AB35" s="112"/>
      <c r="AC35" s="112"/>
      <c r="AD35" s="112"/>
      <c r="AE35" s="113"/>
      <c r="AF35" s="26"/>
      <c r="AS35" t="s">
        <v>337</v>
      </c>
      <c r="AT35">
        <v>27</v>
      </c>
      <c r="AU35">
        <v>27</v>
      </c>
      <c r="AV35">
        <v>27</v>
      </c>
      <c r="AW35">
        <v>27</v>
      </c>
      <c r="AX35">
        <v>27</v>
      </c>
      <c r="AY35">
        <v>27</v>
      </c>
      <c r="AZ35">
        <v>27</v>
      </c>
      <c r="BA35">
        <v>27</v>
      </c>
      <c r="BB35">
        <v>27</v>
      </c>
      <c r="BC35">
        <v>27</v>
      </c>
      <c r="BD35">
        <v>27</v>
      </c>
      <c r="BE35">
        <v>27</v>
      </c>
      <c r="BF35">
        <v>27</v>
      </c>
      <c r="BG35">
        <v>27</v>
      </c>
      <c r="BH35">
        <v>27</v>
      </c>
      <c r="BI35">
        <v>27</v>
      </c>
      <c r="BJ35">
        <v>27</v>
      </c>
      <c r="BK35">
        <v>27</v>
      </c>
      <c r="BL35">
        <v>29</v>
      </c>
      <c r="BM35">
        <v>31</v>
      </c>
      <c r="BN35">
        <v>32</v>
      </c>
      <c r="BO35">
        <v>34</v>
      </c>
      <c r="BP35">
        <v>34</v>
      </c>
      <c r="BQ35">
        <v>37</v>
      </c>
      <c r="BR35">
        <v>40</v>
      </c>
      <c r="BS35">
        <v>42</v>
      </c>
      <c r="BT35">
        <v>43</v>
      </c>
      <c r="BU35">
        <v>44</v>
      </c>
      <c r="BV35">
        <v>47</v>
      </c>
      <c r="BW35">
        <v>49</v>
      </c>
      <c r="BX35">
        <v>51</v>
      </c>
      <c r="BY35">
        <v>53</v>
      </c>
      <c r="BZ35">
        <v>54</v>
      </c>
      <c r="CA35">
        <v>56</v>
      </c>
      <c r="CB35">
        <v>57</v>
      </c>
      <c r="CC35">
        <v>58</v>
      </c>
      <c r="CD35">
        <v>60</v>
      </c>
      <c r="CE35">
        <v>63</v>
      </c>
      <c r="CF35">
        <v>63</v>
      </c>
      <c r="CG35">
        <v>66</v>
      </c>
      <c r="CH35">
        <v>68</v>
      </c>
      <c r="CI35">
        <v>71</v>
      </c>
      <c r="CJ35">
        <v>73</v>
      </c>
      <c r="CK35">
        <v>73</v>
      </c>
      <c r="CL35">
        <v>73</v>
      </c>
      <c r="CM35">
        <v>73</v>
      </c>
      <c r="CN35">
        <v>73</v>
      </c>
      <c r="CO35">
        <v>73</v>
      </c>
      <c r="CP35">
        <v>73</v>
      </c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</row>
    <row r="36" spans="1:162" x14ac:dyDescent="0.25">
      <c r="A36" s="2"/>
      <c r="B36" s="86"/>
      <c r="AF36" s="26"/>
      <c r="AS36" t="s">
        <v>6</v>
      </c>
      <c r="AT36">
        <v>27</v>
      </c>
      <c r="AU36">
        <v>27</v>
      </c>
      <c r="AV36">
        <v>27</v>
      </c>
      <c r="AW36">
        <v>29</v>
      </c>
      <c r="AX36">
        <v>31</v>
      </c>
      <c r="AY36">
        <v>34</v>
      </c>
      <c r="AZ36">
        <v>34</v>
      </c>
      <c r="BA36">
        <v>37</v>
      </c>
      <c r="BB36">
        <v>37</v>
      </c>
      <c r="BC36">
        <v>40</v>
      </c>
      <c r="BD36">
        <v>42</v>
      </c>
      <c r="BE36">
        <v>43</v>
      </c>
      <c r="BF36">
        <v>44</v>
      </c>
      <c r="BG36">
        <v>46</v>
      </c>
      <c r="BH36">
        <v>47</v>
      </c>
      <c r="BI36">
        <v>49</v>
      </c>
      <c r="BJ36">
        <v>50</v>
      </c>
      <c r="BK36">
        <v>51</v>
      </c>
      <c r="BL36">
        <v>53</v>
      </c>
      <c r="BM36">
        <v>54</v>
      </c>
      <c r="BN36">
        <v>56</v>
      </c>
      <c r="BO36">
        <v>57</v>
      </c>
      <c r="BP36">
        <v>58</v>
      </c>
      <c r="BQ36">
        <v>60</v>
      </c>
      <c r="BR36">
        <v>63</v>
      </c>
      <c r="BS36">
        <v>63</v>
      </c>
      <c r="BT36">
        <v>66</v>
      </c>
      <c r="BU36">
        <v>66</v>
      </c>
      <c r="BV36">
        <v>69</v>
      </c>
      <c r="BW36">
        <v>71</v>
      </c>
      <c r="BX36">
        <v>73</v>
      </c>
      <c r="BY36">
        <v>73</v>
      </c>
      <c r="BZ36">
        <v>73</v>
      </c>
      <c r="CA36">
        <v>73</v>
      </c>
      <c r="CB36">
        <v>73</v>
      </c>
      <c r="CC36">
        <v>73</v>
      </c>
      <c r="CD36">
        <v>73</v>
      </c>
      <c r="CE36">
        <v>73</v>
      </c>
      <c r="CF36">
        <v>73</v>
      </c>
      <c r="CG36">
        <v>73</v>
      </c>
      <c r="CH36">
        <v>73</v>
      </c>
      <c r="CI36">
        <v>73</v>
      </c>
      <c r="CJ36">
        <v>73</v>
      </c>
      <c r="CK36">
        <v>73</v>
      </c>
      <c r="CL36">
        <v>73</v>
      </c>
      <c r="CM36">
        <v>73</v>
      </c>
      <c r="CN36">
        <v>73</v>
      </c>
      <c r="CO36">
        <v>73</v>
      </c>
      <c r="CP36">
        <v>73</v>
      </c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</row>
    <row r="37" spans="1:162" x14ac:dyDescent="0.25">
      <c r="A37" s="2"/>
      <c r="B37" s="86"/>
      <c r="E37" s="155" t="s">
        <v>14</v>
      </c>
      <c r="F37" s="156" t="s">
        <v>338</v>
      </c>
      <c r="G37" s="156"/>
      <c r="H37" s="156"/>
      <c r="I37" s="156"/>
      <c r="J37" s="156"/>
      <c r="K37" s="156"/>
      <c r="L37" s="157" t="s">
        <v>326</v>
      </c>
      <c r="M37" s="156" t="s">
        <v>339</v>
      </c>
      <c r="N37" s="156"/>
      <c r="O37" s="156"/>
      <c r="P37" s="156"/>
      <c r="Q37" s="157" t="s">
        <v>328</v>
      </c>
      <c r="R37" s="156" t="s">
        <v>340</v>
      </c>
      <c r="S37" s="156"/>
      <c r="T37" s="156"/>
      <c r="U37" s="158"/>
      <c r="V37" s="159"/>
      <c r="W37" s="160" t="s">
        <v>6</v>
      </c>
      <c r="X37" s="161" t="s">
        <v>341</v>
      </c>
      <c r="Y37" s="161"/>
      <c r="Z37" s="162"/>
      <c r="AF37" s="26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</row>
    <row r="38" spans="1:162" x14ac:dyDescent="0.25">
      <c r="A38" s="2"/>
      <c r="B38" s="86"/>
      <c r="E38" s="155" t="s">
        <v>20</v>
      </c>
      <c r="F38" s="156" t="s">
        <v>342</v>
      </c>
      <c r="G38" s="156"/>
      <c r="H38" s="156"/>
      <c r="I38" s="156"/>
      <c r="J38" s="156"/>
      <c r="K38" s="156"/>
      <c r="L38" s="157" t="s">
        <v>330</v>
      </c>
      <c r="M38" s="163" t="s">
        <v>343</v>
      </c>
      <c r="N38" s="163"/>
      <c r="O38" s="163"/>
      <c r="P38" s="156"/>
      <c r="Q38" s="164" t="s">
        <v>331</v>
      </c>
      <c r="R38" s="156" t="s">
        <v>344</v>
      </c>
      <c r="S38" s="156"/>
      <c r="T38" s="156"/>
      <c r="U38" s="158"/>
      <c r="AF38" s="26"/>
      <c r="AS38" t="s">
        <v>345</v>
      </c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</row>
    <row r="39" spans="1:162" x14ac:dyDescent="0.25">
      <c r="A39" s="2"/>
      <c r="B39" s="86"/>
      <c r="E39" s="155" t="s">
        <v>24</v>
      </c>
      <c r="F39" s="156" t="s">
        <v>346</v>
      </c>
      <c r="G39" s="156"/>
      <c r="H39" s="156"/>
      <c r="I39" s="156"/>
      <c r="J39" s="156"/>
      <c r="K39" s="156"/>
      <c r="L39" s="157" t="s">
        <v>332</v>
      </c>
      <c r="M39" s="156" t="s">
        <v>347</v>
      </c>
      <c r="N39" s="156"/>
      <c r="O39" s="156"/>
      <c r="P39" s="156"/>
      <c r="Q39" s="157" t="s">
        <v>333</v>
      </c>
      <c r="R39" s="156" t="s">
        <v>348</v>
      </c>
      <c r="S39" s="156"/>
      <c r="T39" s="156"/>
      <c r="U39" s="158"/>
      <c r="AF39" s="26"/>
      <c r="AS39" t="s">
        <v>329</v>
      </c>
      <c r="AT39">
        <v>12</v>
      </c>
      <c r="AU39">
        <v>13</v>
      </c>
      <c r="AV39">
        <v>14</v>
      </c>
      <c r="AW39">
        <v>15</v>
      </c>
      <c r="AX39">
        <v>16</v>
      </c>
      <c r="AY39">
        <v>17</v>
      </c>
      <c r="AZ39">
        <v>18</v>
      </c>
      <c r="BA39">
        <v>19</v>
      </c>
      <c r="BB39">
        <v>20</v>
      </c>
      <c r="BC39">
        <v>21</v>
      </c>
      <c r="BD39">
        <v>22</v>
      </c>
      <c r="BE39">
        <v>23</v>
      </c>
      <c r="BF39">
        <v>24</v>
      </c>
      <c r="BG39">
        <v>25</v>
      </c>
      <c r="BH39">
        <v>26</v>
      </c>
      <c r="BI39">
        <v>27</v>
      </c>
      <c r="BJ39">
        <v>28</v>
      </c>
      <c r="BK39">
        <v>29</v>
      </c>
      <c r="BL39">
        <v>30</v>
      </c>
      <c r="BM39">
        <v>31</v>
      </c>
      <c r="BN39">
        <v>32</v>
      </c>
      <c r="BO39">
        <v>33</v>
      </c>
      <c r="BP39">
        <v>34</v>
      </c>
      <c r="BQ39">
        <v>35</v>
      </c>
      <c r="BR39">
        <v>36</v>
      </c>
      <c r="BS39">
        <v>37</v>
      </c>
      <c r="BT39">
        <v>38</v>
      </c>
      <c r="BU39">
        <v>39</v>
      </c>
      <c r="BV39">
        <v>40</v>
      </c>
      <c r="BW39">
        <v>41</v>
      </c>
      <c r="BX39">
        <v>42</v>
      </c>
      <c r="BY39">
        <v>43</v>
      </c>
      <c r="BZ39">
        <v>44</v>
      </c>
      <c r="CA39">
        <v>45</v>
      </c>
      <c r="CB39">
        <v>46</v>
      </c>
      <c r="CC39">
        <v>47</v>
      </c>
      <c r="CD39">
        <v>48</v>
      </c>
      <c r="CE39">
        <v>49</v>
      </c>
      <c r="CF39">
        <v>50</v>
      </c>
      <c r="CG39">
        <v>51</v>
      </c>
      <c r="CH39">
        <v>52</v>
      </c>
      <c r="CI39">
        <v>53</v>
      </c>
      <c r="CJ39">
        <v>54</v>
      </c>
      <c r="CK39">
        <v>55</v>
      </c>
      <c r="CL39">
        <v>56</v>
      </c>
      <c r="CM39">
        <v>57</v>
      </c>
      <c r="CN39">
        <v>58</v>
      </c>
      <c r="CO39">
        <v>59</v>
      </c>
      <c r="CP39">
        <v>60</v>
      </c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</row>
    <row r="40" spans="1:162" x14ac:dyDescent="0.25">
      <c r="A40" s="2"/>
      <c r="B40" s="86"/>
      <c r="E40" s="155" t="s">
        <v>28</v>
      </c>
      <c r="F40" s="156" t="s">
        <v>349</v>
      </c>
      <c r="G40" s="156"/>
      <c r="H40" s="156"/>
      <c r="I40" s="156"/>
      <c r="J40" s="156"/>
      <c r="K40" s="156"/>
      <c r="L40" s="157" t="s">
        <v>334</v>
      </c>
      <c r="M40" s="156" t="s">
        <v>350</v>
      </c>
      <c r="N40" s="156"/>
      <c r="O40" s="156"/>
      <c r="P40" s="156"/>
      <c r="Q40" s="157" t="s">
        <v>335</v>
      </c>
      <c r="R40" s="156" t="s">
        <v>351</v>
      </c>
      <c r="S40" s="156"/>
      <c r="T40" s="156"/>
      <c r="U40" s="158"/>
      <c r="AF40" s="26"/>
      <c r="AS40" t="s">
        <v>326</v>
      </c>
      <c r="AT40">
        <v>27</v>
      </c>
      <c r="AU40">
        <v>27</v>
      </c>
      <c r="AV40">
        <v>27</v>
      </c>
      <c r="AW40">
        <v>27</v>
      </c>
      <c r="AX40">
        <v>27</v>
      </c>
      <c r="AY40">
        <v>27</v>
      </c>
      <c r="AZ40">
        <v>27</v>
      </c>
      <c r="BA40">
        <v>27</v>
      </c>
      <c r="BB40">
        <v>27</v>
      </c>
      <c r="BC40">
        <v>27</v>
      </c>
      <c r="BD40">
        <v>27</v>
      </c>
      <c r="BE40">
        <v>27</v>
      </c>
      <c r="BF40">
        <v>27</v>
      </c>
      <c r="BG40">
        <v>27</v>
      </c>
      <c r="BH40">
        <v>29</v>
      </c>
      <c r="BI40">
        <v>29</v>
      </c>
      <c r="BJ40">
        <v>31</v>
      </c>
      <c r="BK40">
        <v>32</v>
      </c>
      <c r="BL40">
        <v>34</v>
      </c>
      <c r="BM40">
        <v>37</v>
      </c>
      <c r="BN40">
        <v>37</v>
      </c>
      <c r="BO40">
        <v>40</v>
      </c>
      <c r="BP40">
        <v>40</v>
      </c>
      <c r="BQ40">
        <v>42</v>
      </c>
      <c r="BR40">
        <v>43</v>
      </c>
      <c r="BS40">
        <v>44</v>
      </c>
      <c r="BT40">
        <v>47</v>
      </c>
      <c r="BU40">
        <v>49</v>
      </c>
      <c r="BV40">
        <v>50</v>
      </c>
      <c r="BW40">
        <v>51</v>
      </c>
      <c r="BX40">
        <v>53</v>
      </c>
      <c r="BY40">
        <v>54</v>
      </c>
      <c r="BZ40">
        <v>56</v>
      </c>
      <c r="CA40">
        <v>58</v>
      </c>
      <c r="CB40">
        <v>60</v>
      </c>
      <c r="CC40">
        <v>60</v>
      </c>
      <c r="CD40">
        <v>63</v>
      </c>
      <c r="CE40">
        <v>63</v>
      </c>
      <c r="CF40">
        <v>66</v>
      </c>
      <c r="CG40">
        <v>68</v>
      </c>
      <c r="CH40">
        <v>69</v>
      </c>
      <c r="CI40">
        <v>71</v>
      </c>
      <c r="CJ40">
        <v>73</v>
      </c>
      <c r="CK40">
        <v>73</v>
      </c>
      <c r="CL40">
        <v>73</v>
      </c>
      <c r="CM40">
        <v>73</v>
      </c>
      <c r="CN40">
        <v>73</v>
      </c>
      <c r="CO40">
        <v>73</v>
      </c>
      <c r="CP40">
        <v>73</v>
      </c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</row>
    <row r="41" spans="1:162" x14ac:dyDescent="0.25">
      <c r="A41" s="2"/>
      <c r="B41" s="86"/>
      <c r="E41" s="155" t="s">
        <v>32</v>
      </c>
      <c r="F41" s="156" t="s">
        <v>352</v>
      </c>
      <c r="G41" s="156"/>
      <c r="H41" s="156"/>
      <c r="I41" s="156"/>
      <c r="J41" s="156"/>
      <c r="K41" s="156"/>
      <c r="L41" s="157" t="s">
        <v>336</v>
      </c>
      <c r="M41" s="156" t="s">
        <v>353</v>
      </c>
      <c r="N41" s="156"/>
      <c r="O41" s="156"/>
      <c r="P41" s="156"/>
      <c r="Q41" s="157" t="s">
        <v>337</v>
      </c>
      <c r="R41" s="156" t="s">
        <v>354</v>
      </c>
      <c r="S41" s="156"/>
      <c r="T41" s="156"/>
      <c r="U41" s="158"/>
      <c r="AF41" s="26"/>
      <c r="AS41" t="s">
        <v>328</v>
      </c>
      <c r="AT41">
        <v>27</v>
      </c>
      <c r="AU41">
        <v>27</v>
      </c>
      <c r="AV41">
        <v>27</v>
      </c>
      <c r="AW41">
        <v>27</v>
      </c>
      <c r="AX41">
        <v>27</v>
      </c>
      <c r="AY41">
        <v>27</v>
      </c>
      <c r="AZ41">
        <v>27</v>
      </c>
      <c r="BA41">
        <v>27</v>
      </c>
      <c r="BB41">
        <v>27</v>
      </c>
      <c r="BC41">
        <v>27</v>
      </c>
      <c r="BD41">
        <v>27</v>
      </c>
      <c r="BE41">
        <v>29</v>
      </c>
      <c r="BF41">
        <v>31</v>
      </c>
      <c r="BG41">
        <v>32</v>
      </c>
      <c r="BH41">
        <v>34</v>
      </c>
      <c r="BI41">
        <v>37</v>
      </c>
      <c r="BJ41">
        <v>37</v>
      </c>
      <c r="BK41">
        <v>40</v>
      </c>
      <c r="BL41">
        <v>42</v>
      </c>
      <c r="BM41">
        <v>43</v>
      </c>
      <c r="BN41">
        <v>44</v>
      </c>
      <c r="BO41">
        <v>46</v>
      </c>
      <c r="BP41">
        <v>49</v>
      </c>
      <c r="BQ41">
        <v>50</v>
      </c>
      <c r="BR41">
        <v>53</v>
      </c>
      <c r="BS41">
        <v>54</v>
      </c>
      <c r="BT41">
        <v>56</v>
      </c>
      <c r="BU41">
        <v>57</v>
      </c>
      <c r="BV41">
        <v>58</v>
      </c>
      <c r="BW41">
        <v>60</v>
      </c>
      <c r="BX41">
        <v>63</v>
      </c>
      <c r="BY41">
        <v>63</v>
      </c>
      <c r="BZ41">
        <v>66</v>
      </c>
      <c r="CA41">
        <v>68</v>
      </c>
      <c r="CB41">
        <v>69</v>
      </c>
      <c r="CC41">
        <v>71</v>
      </c>
      <c r="CD41">
        <v>71</v>
      </c>
      <c r="CE41">
        <v>73</v>
      </c>
      <c r="CF41">
        <v>73</v>
      </c>
      <c r="CG41">
        <v>73</v>
      </c>
      <c r="CH41">
        <v>73</v>
      </c>
      <c r="CI41">
        <v>73</v>
      </c>
      <c r="CJ41">
        <v>73</v>
      </c>
      <c r="CK41">
        <v>73</v>
      </c>
      <c r="CL41">
        <v>73</v>
      </c>
      <c r="CM41">
        <v>73</v>
      </c>
      <c r="CN41">
        <v>73</v>
      </c>
      <c r="CO41">
        <v>73</v>
      </c>
      <c r="CP41">
        <v>73</v>
      </c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</row>
    <row r="42" spans="1:162" x14ac:dyDescent="0.25">
      <c r="A42" s="2"/>
      <c r="B42" s="86"/>
      <c r="AF42" s="26"/>
      <c r="AS42" t="s">
        <v>330</v>
      </c>
      <c r="AT42">
        <v>27</v>
      </c>
      <c r="AU42">
        <v>27</v>
      </c>
      <c r="AV42">
        <v>27</v>
      </c>
      <c r="AW42">
        <v>27</v>
      </c>
      <c r="AX42">
        <v>27</v>
      </c>
      <c r="AY42">
        <v>27</v>
      </c>
      <c r="AZ42">
        <v>27</v>
      </c>
      <c r="BA42">
        <v>27</v>
      </c>
      <c r="BB42">
        <v>27</v>
      </c>
      <c r="BC42">
        <v>27</v>
      </c>
      <c r="BD42">
        <v>27</v>
      </c>
      <c r="BE42">
        <v>27</v>
      </c>
      <c r="BF42">
        <v>27</v>
      </c>
      <c r="BG42">
        <v>27</v>
      </c>
      <c r="BH42">
        <v>27</v>
      </c>
      <c r="BI42">
        <v>27</v>
      </c>
      <c r="BJ42">
        <v>27</v>
      </c>
      <c r="BK42">
        <v>27</v>
      </c>
      <c r="BL42">
        <v>27</v>
      </c>
      <c r="BM42">
        <v>27</v>
      </c>
      <c r="BN42">
        <v>29</v>
      </c>
      <c r="BO42">
        <v>31</v>
      </c>
      <c r="BP42">
        <v>34</v>
      </c>
      <c r="BQ42">
        <v>34</v>
      </c>
      <c r="BR42">
        <v>37</v>
      </c>
      <c r="BS42">
        <v>37</v>
      </c>
      <c r="BT42">
        <v>40</v>
      </c>
      <c r="BU42">
        <v>42</v>
      </c>
      <c r="BV42">
        <v>42</v>
      </c>
      <c r="BW42">
        <v>43</v>
      </c>
      <c r="BX42">
        <v>46</v>
      </c>
      <c r="BY42">
        <v>47</v>
      </c>
      <c r="BZ42">
        <v>50</v>
      </c>
      <c r="CA42">
        <v>53</v>
      </c>
      <c r="CB42">
        <v>54</v>
      </c>
      <c r="CC42">
        <v>57</v>
      </c>
      <c r="CD42">
        <v>58</v>
      </c>
      <c r="CE42">
        <v>60</v>
      </c>
      <c r="CF42">
        <v>63</v>
      </c>
      <c r="CG42">
        <v>66</v>
      </c>
      <c r="CH42">
        <v>69</v>
      </c>
      <c r="CI42">
        <v>71</v>
      </c>
      <c r="CJ42">
        <v>73</v>
      </c>
      <c r="CK42">
        <v>73</v>
      </c>
      <c r="CL42">
        <v>73</v>
      </c>
      <c r="CM42">
        <v>73</v>
      </c>
      <c r="CN42">
        <v>73</v>
      </c>
      <c r="CO42">
        <v>73</v>
      </c>
      <c r="CP42">
        <v>73</v>
      </c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</row>
    <row r="43" spans="1:162" ht="15.75" thickBot="1" x14ac:dyDescent="0.3">
      <c r="A43" s="2"/>
      <c r="B43" s="86"/>
      <c r="AF43" s="26"/>
      <c r="AS43" t="s">
        <v>331</v>
      </c>
      <c r="AT43">
        <v>27</v>
      </c>
      <c r="AU43">
        <v>27</v>
      </c>
      <c r="AV43">
        <v>27</v>
      </c>
      <c r="AW43">
        <v>27</v>
      </c>
      <c r="AX43">
        <v>27</v>
      </c>
      <c r="AY43">
        <v>27</v>
      </c>
      <c r="AZ43">
        <v>27</v>
      </c>
      <c r="BA43">
        <v>27</v>
      </c>
      <c r="BB43">
        <v>27</v>
      </c>
      <c r="BC43">
        <v>27</v>
      </c>
      <c r="BD43">
        <v>27</v>
      </c>
      <c r="BE43">
        <v>27</v>
      </c>
      <c r="BF43">
        <v>29</v>
      </c>
      <c r="BG43">
        <v>29</v>
      </c>
      <c r="BH43">
        <v>29</v>
      </c>
      <c r="BI43">
        <v>31</v>
      </c>
      <c r="BJ43">
        <v>31</v>
      </c>
      <c r="BK43">
        <v>32</v>
      </c>
      <c r="BL43">
        <v>34</v>
      </c>
      <c r="BM43">
        <v>34</v>
      </c>
      <c r="BN43">
        <v>37</v>
      </c>
      <c r="BO43">
        <v>37</v>
      </c>
      <c r="BP43">
        <v>40</v>
      </c>
      <c r="BQ43">
        <v>42</v>
      </c>
      <c r="BR43">
        <v>42</v>
      </c>
      <c r="BS43">
        <v>44</v>
      </c>
      <c r="BT43">
        <v>46</v>
      </c>
      <c r="BU43">
        <v>47</v>
      </c>
      <c r="BV43">
        <v>50</v>
      </c>
      <c r="BW43">
        <v>53</v>
      </c>
      <c r="BX43">
        <v>54</v>
      </c>
      <c r="BY43">
        <v>56</v>
      </c>
      <c r="BZ43">
        <v>57</v>
      </c>
      <c r="CA43">
        <v>60</v>
      </c>
      <c r="CB43">
        <v>63</v>
      </c>
      <c r="CC43">
        <v>63</v>
      </c>
      <c r="CD43">
        <v>66</v>
      </c>
      <c r="CE43">
        <v>66</v>
      </c>
      <c r="CF43">
        <v>68</v>
      </c>
      <c r="CG43">
        <v>71</v>
      </c>
      <c r="CH43">
        <v>73</v>
      </c>
      <c r="CI43">
        <v>73</v>
      </c>
      <c r="CJ43">
        <v>73</v>
      </c>
      <c r="CK43">
        <v>73</v>
      </c>
      <c r="CL43">
        <v>73</v>
      </c>
      <c r="CM43">
        <v>73</v>
      </c>
      <c r="CN43">
        <v>73</v>
      </c>
      <c r="CO43">
        <v>73</v>
      </c>
      <c r="CP43">
        <v>73</v>
      </c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</row>
    <row r="44" spans="1:162" x14ac:dyDescent="0.25">
      <c r="A44" s="2"/>
      <c r="B44" s="85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1"/>
      <c r="AF44" s="26"/>
      <c r="AS44" t="s">
        <v>332</v>
      </c>
      <c r="AT44">
        <v>27</v>
      </c>
      <c r="AU44">
        <v>27</v>
      </c>
      <c r="AV44">
        <v>27</v>
      </c>
      <c r="AW44">
        <v>27</v>
      </c>
      <c r="AX44">
        <v>27</v>
      </c>
      <c r="AY44">
        <v>27</v>
      </c>
      <c r="AZ44">
        <v>27</v>
      </c>
      <c r="BA44">
        <v>27</v>
      </c>
      <c r="BB44">
        <v>27</v>
      </c>
      <c r="BC44">
        <v>27</v>
      </c>
      <c r="BD44">
        <v>27</v>
      </c>
      <c r="BE44">
        <v>27</v>
      </c>
      <c r="BF44">
        <v>29</v>
      </c>
      <c r="BG44">
        <v>31</v>
      </c>
      <c r="BH44">
        <v>32</v>
      </c>
      <c r="BI44">
        <v>34</v>
      </c>
      <c r="BJ44">
        <v>34</v>
      </c>
      <c r="BK44">
        <v>37</v>
      </c>
      <c r="BL44">
        <v>37</v>
      </c>
      <c r="BM44">
        <v>40</v>
      </c>
      <c r="BN44">
        <v>40</v>
      </c>
      <c r="BO44">
        <v>42</v>
      </c>
      <c r="BP44">
        <v>43</v>
      </c>
      <c r="BQ44">
        <v>44</v>
      </c>
      <c r="BR44">
        <v>46</v>
      </c>
      <c r="BS44">
        <v>47</v>
      </c>
      <c r="BT44">
        <v>50</v>
      </c>
      <c r="BU44">
        <v>51</v>
      </c>
      <c r="BV44">
        <v>53</v>
      </c>
      <c r="BW44">
        <v>54</v>
      </c>
      <c r="BX44">
        <v>57</v>
      </c>
      <c r="BY44">
        <v>58</v>
      </c>
      <c r="BZ44">
        <v>58</v>
      </c>
      <c r="CA44">
        <v>60</v>
      </c>
      <c r="CB44">
        <v>63</v>
      </c>
      <c r="CC44">
        <v>63</v>
      </c>
      <c r="CD44">
        <v>66</v>
      </c>
      <c r="CE44">
        <v>66</v>
      </c>
      <c r="CF44">
        <v>68</v>
      </c>
      <c r="CG44">
        <v>69</v>
      </c>
      <c r="CH44">
        <v>71</v>
      </c>
      <c r="CI44">
        <v>73</v>
      </c>
      <c r="CJ44">
        <v>73</v>
      </c>
      <c r="CK44">
        <v>73</v>
      </c>
      <c r="CL44">
        <v>73</v>
      </c>
      <c r="CM44">
        <v>73</v>
      </c>
      <c r="CN44">
        <v>73</v>
      </c>
      <c r="CO44">
        <v>73</v>
      </c>
      <c r="CP44">
        <v>73</v>
      </c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</row>
    <row r="45" spans="1:162" x14ac:dyDescent="0.25">
      <c r="A45" s="2"/>
      <c r="B45" s="86"/>
      <c r="C45" s="165" t="s">
        <v>355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6"/>
      <c r="AF45" s="26"/>
      <c r="AS45" t="s">
        <v>333</v>
      </c>
      <c r="AT45">
        <v>27</v>
      </c>
      <c r="AU45">
        <v>27</v>
      </c>
      <c r="AV45">
        <v>27</v>
      </c>
      <c r="AW45">
        <v>27</v>
      </c>
      <c r="AX45">
        <v>27</v>
      </c>
      <c r="AY45">
        <v>27</v>
      </c>
      <c r="AZ45">
        <v>27</v>
      </c>
      <c r="BA45">
        <v>27</v>
      </c>
      <c r="BB45">
        <v>27</v>
      </c>
      <c r="BC45">
        <v>27</v>
      </c>
      <c r="BD45">
        <v>27</v>
      </c>
      <c r="BE45">
        <v>27</v>
      </c>
      <c r="BF45">
        <v>27</v>
      </c>
      <c r="BG45">
        <v>27</v>
      </c>
      <c r="BH45">
        <v>27</v>
      </c>
      <c r="BI45">
        <v>27</v>
      </c>
      <c r="BJ45">
        <v>29</v>
      </c>
      <c r="BK45">
        <v>29</v>
      </c>
      <c r="BL45">
        <v>29</v>
      </c>
      <c r="BM45">
        <v>32</v>
      </c>
      <c r="BN45">
        <v>34</v>
      </c>
      <c r="BO45">
        <v>37</v>
      </c>
      <c r="BP45">
        <v>37</v>
      </c>
      <c r="BQ45">
        <v>37</v>
      </c>
      <c r="BR45">
        <v>40</v>
      </c>
      <c r="BS45">
        <v>42</v>
      </c>
      <c r="BT45">
        <v>43</v>
      </c>
      <c r="BU45">
        <v>44</v>
      </c>
      <c r="BV45">
        <v>46</v>
      </c>
      <c r="BW45">
        <v>47</v>
      </c>
      <c r="BX45">
        <v>49</v>
      </c>
      <c r="BY45">
        <v>51</v>
      </c>
      <c r="BZ45">
        <v>53</v>
      </c>
      <c r="CA45">
        <v>54</v>
      </c>
      <c r="CB45">
        <v>56</v>
      </c>
      <c r="CC45">
        <v>57</v>
      </c>
      <c r="CD45">
        <v>58</v>
      </c>
      <c r="CE45">
        <v>60</v>
      </c>
      <c r="CF45">
        <v>63</v>
      </c>
      <c r="CG45">
        <v>66</v>
      </c>
      <c r="CH45">
        <v>66</v>
      </c>
      <c r="CI45">
        <v>69</v>
      </c>
      <c r="CJ45">
        <v>71</v>
      </c>
      <c r="CK45">
        <v>73</v>
      </c>
      <c r="CL45">
        <v>73</v>
      </c>
      <c r="CM45">
        <v>73</v>
      </c>
      <c r="CN45">
        <v>73</v>
      </c>
      <c r="CO45">
        <v>73</v>
      </c>
      <c r="CP45">
        <v>73</v>
      </c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</row>
    <row r="46" spans="1:162" x14ac:dyDescent="0.25">
      <c r="A46" s="2"/>
      <c r="B46" s="86"/>
      <c r="C46" s="167"/>
      <c r="AD46" s="26"/>
      <c r="AF46" s="26"/>
      <c r="AS46" t="s">
        <v>334</v>
      </c>
      <c r="AT46">
        <v>27</v>
      </c>
      <c r="AU46">
        <v>27</v>
      </c>
      <c r="AV46">
        <v>27</v>
      </c>
      <c r="AW46">
        <v>27</v>
      </c>
      <c r="AX46">
        <v>27</v>
      </c>
      <c r="AY46">
        <v>29</v>
      </c>
      <c r="AZ46">
        <v>31</v>
      </c>
      <c r="BA46">
        <v>32</v>
      </c>
      <c r="BB46">
        <v>34</v>
      </c>
      <c r="BC46">
        <v>34</v>
      </c>
      <c r="BD46">
        <v>37</v>
      </c>
      <c r="BE46">
        <v>37</v>
      </c>
      <c r="BF46">
        <v>40</v>
      </c>
      <c r="BG46">
        <v>40</v>
      </c>
      <c r="BH46">
        <v>42</v>
      </c>
      <c r="BI46">
        <v>42</v>
      </c>
      <c r="BJ46">
        <v>43</v>
      </c>
      <c r="BK46">
        <v>44</v>
      </c>
      <c r="BL46">
        <v>46</v>
      </c>
      <c r="BM46">
        <v>47</v>
      </c>
      <c r="BN46">
        <v>47</v>
      </c>
      <c r="BO46">
        <v>49</v>
      </c>
      <c r="BP46">
        <v>51</v>
      </c>
      <c r="BQ46">
        <v>53</v>
      </c>
      <c r="BR46">
        <v>54</v>
      </c>
      <c r="BS46">
        <v>54</v>
      </c>
      <c r="BT46">
        <v>56</v>
      </c>
      <c r="BU46">
        <v>57</v>
      </c>
      <c r="BV46">
        <v>58</v>
      </c>
      <c r="BW46">
        <v>60</v>
      </c>
      <c r="BX46">
        <v>63</v>
      </c>
      <c r="BY46">
        <v>63</v>
      </c>
      <c r="BZ46">
        <v>66</v>
      </c>
      <c r="CA46">
        <v>66</v>
      </c>
      <c r="CB46">
        <v>69</v>
      </c>
      <c r="CC46">
        <v>71</v>
      </c>
      <c r="CD46">
        <v>73</v>
      </c>
      <c r="CE46">
        <v>73</v>
      </c>
      <c r="CF46">
        <v>73</v>
      </c>
      <c r="CG46">
        <v>73</v>
      </c>
      <c r="CH46">
        <v>73</v>
      </c>
      <c r="CI46">
        <v>73</v>
      </c>
      <c r="CJ46">
        <v>73</v>
      </c>
      <c r="CK46">
        <v>73</v>
      </c>
      <c r="CL46">
        <v>73</v>
      </c>
      <c r="CM46">
        <v>73</v>
      </c>
      <c r="CN46">
        <v>73</v>
      </c>
      <c r="CO46">
        <v>73</v>
      </c>
      <c r="CP46">
        <v>73</v>
      </c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</row>
    <row r="47" spans="1:162" x14ac:dyDescent="0.25">
      <c r="A47" s="2"/>
      <c r="B47" s="86"/>
      <c r="C47" s="165" t="s">
        <v>356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D47" s="26"/>
      <c r="AF47" s="26"/>
      <c r="AS47" t="s">
        <v>335</v>
      </c>
      <c r="AT47">
        <v>27</v>
      </c>
      <c r="AU47">
        <v>27</v>
      </c>
      <c r="AV47">
        <v>27</v>
      </c>
      <c r="AW47">
        <v>27</v>
      </c>
      <c r="AX47">
        <v>27</v>
      </c>
      <c r="AY47">
        <v>29</v>
      </c>
      <c r="AZ47">
        <v>31</v>
      </c>
      <c r="BA47">
        <v>32</v>
      </c>
      <c r="BB47">
        <v>34</v>
      </c>
      <c r="BC47">
        <v>34</v>
      </c>
      <c r="BD47">
        <v>37</v>
      </c>
      <c r="BE47">
        <v>37</v>
      </c>
      <c r="BF47">
        <v>40</v>
      </c>
      <c r="BG47">
        <v>40</v>
      </c>
      <c r="BH47">
        <v>42</v>
      </c>
      <c r="BI47">
        <v>43</v>
      </c>
      <c r="BJ47">
        <v>44</v>
      </c>
      <c r="BK47">
        <v>46</v>
      </c>
      <c r="BL47">
        <v>47</v>
      </c>
      <c r="BM47">
        <v>49</v>
      </c>
      <c r="BN47">
        <v>50</v>
      </c>
      <c r="BO47">
        <v>51</v>
      </c>
      <c r="BP47">
        <v>53</v>
      </c>
      <c r="BQ47">
        <v>54</v>
      </c>
      <c r="BR47">
        <v>56</v>
      </c>
      <c r="BS47">
        <v>57</v>
      </c>
      <c r="BT47">
        <v>58</v>
      </c>
      <c r="BU47">
        <v>60</v>
      </c>
      <c r="BV47">
        <v>63</v>
      </c>
      <c r="BW47">
        <v>63</v>
      </c>
      <c r="BX47">
        <v>63</v>
      </c>
      <c r="BY47">
        <v>66</v>
      </c>
      <c r="BZ47">
        <v>69</v>
      </c>
      <c r="CA47">
        <v>71</v>
      </c>
      <c r="CB47">
        <v>73</v>
      </c>
      <c r="CC47">
        <v>73</v>
      </c>
      <c r="CD47">
        <v>73</v>
      </c>
      <c r="CE47">
        <v>73</v>
      </c>
      <c r="CF47">
        <v>73</v>
      </c>
      <c r="CG47">
        <v>73</v>
      </c>
      <c r="CH47">
        <v>73</v>
      </c>
      <c r="CI47">
        <v>73</v>
      </c>
      <c r="CJ47">
        <v>73</v>
      </c>
      <c r="CK47">
        <v>73</v>
      </c>
      <c r="CL47">
        <v>73</v>
      </c>
      <c r="CM47">
        <v>73</v>
      </c>
      <c r="CN47">
        <v>73</v>
      </c>
      <c r="CO47">
        <v>73</v>
      </c>
      <c r="CP47">
        <v>73</v>
      </c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</row>
    <row r="48" spans="1:162" x14ac:dyDescent="0.25">
      <c r="A48" s="2"/>
      <c r="B48" s="86"/>
      <c r="C48" s="25" t="s">
        <v>357</v>
      </c>
      <c r="AD48" s="26"/>
      <c r="AF48" s="26"/>
      <c r="AS48" t="s">
        <v>336</v>
      </c>
      <c r="AT48">
        <v>27</v>
      </c>
      <c r="AU48">
        <v>27</v>
      </c>
      <c r="AV48">
        <v>27</v>
      </c>
      <c r="AW48">
        <v>27</v>
      </c>
      <c r="AX48">
        <v>27</v>
      </c>
      <c r="AY48">
        <v>27</v>
      </c>
      <c r="AZ48">
        <v>27</v>
      </c>
      <c r="BA48">
        <v>27</v>
      </c>
      <c r="BB48">
        <v>27</v>
      </c>
      <c r="BC48">
        <v>27</v>
      </c>
      <c r="BD48">
        <v>27</v>
      </c>
      <c r="BE48">
        <v>27</v>
      </c>
      <c r="BF48">
        <v>27</v>
      </c>
      <c r="BG48">
        <v>27</v>
      </c>
      <c r="BH48">
        <v>27</v>
      </c>
      <c r="BI48">
        <v>27</v>
      </c>
      <c r="BJ48">
        <v>29</v>
      </c>
      <c r="BK48">
        <v>29</v>
      </c>
      <c r="BL48">
        <v>31</v>
      </c>
      <c r="BM48">
        <v>34</v>
      </c>
      <c r="BN48">
        <v>34</v>
      </c>
      <c r="BO48">
        <v>37</v>
      </c>
      <c r="BP48">
        <v>37</v>
      </c>
      <c r="BQ48">
        <v>40</v>
      </c>
      <c r="BR48">
        <v>42</v>
      </c>
      <c r="BS48">
        <v>43</v>
      </c>
      <c r="BT48">
        <v>44</v>
      </c>
      <c r="BU48">
        <v>44</v>
      </c>
      <c r="BV48">
        <v>47</v>
      </c>
      <c r="BW48">
        <v>49</v>
      </c>
      <c r="BX48">
        <v>50</v>
      </c>
      <c r="BY48">
        <v>53</v>
      </c>
      <c r="BZ48">
        <v>54</v>
      </c>
      <c r="CA48">
        <v>56</v>
      </c>
      <c r="CB48">
        <v>57</v>
      </c>
      <c r="CC48">
        <v>58</v>
      </c>
      <c r="CD48">
        <v>60</v>
      </c>
      <c r="CE48">
        <v>63</v>
      </c>
      <c r="CF48">
        <v>66</v>
      </c>
      <c r="CG48">
        <v>66</v>
      </c>
      <c r="CH48">
        <v>68</v>
      </c>
      <c r="CI48">
        <v>71</v>
      </c>
      <c r="CJ48">
        <v>73</v>
      </c>
      <c r="CK48">
        <v>73</v>
      </c>
      <c r="CL48">
        <v>73</v>
      </c>
      <c r="CM48">
        <v>73</v>
      </c>
      <c r="CN48">
        <v>73</v>
      </c>
      <c r="CO48">
        <v>73</v>
      </c>
      <c r="CP48">
        <v>73</v>
      </c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</row>
    <row r="49" spans="1:162" x14ac:dyDescent="0.25">
      <c r="A49" s="2"/>
      <c r="B49" s="86"/>
      <c r="C49" s="168" t="e">
        <f>HLOOKUP(D22,AS95:EM96,2)</f>
        <v>#N/A</v>
      </c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9"/>
      <c r="AF49" s="26"/>
      <c r="AS49" t="s">
        <v>337</v>
      </c>
      <c r="AT49">
        <v>27</v>
      </c>
      <c r="AU49">
        <v>27</v>
      </c>
      <c r="AV49">
        <v>27</v>
      </c>
      <c r="AW49">
        <v>27</v>
      </c>
      <c r="AX49">
        <v>27</v>
      </c>
      <c r="AY49">
        <v>27</v>
      </c>
      <c r="AZ49">
        <v>27</v>
      </c>
      <c r="BA49">
        <v>27</v>
      </c>
      <c r="BB49">
        <v>27</v>
      </c>
      <c r="BC49">
        <v>27</v>
      </c>
      <c r="BD49">
        <v>27</v>
      </c>
      <c r="BE49">
        <v>27</v>
      </c>
      <c r="BF49">
        <v>27</v>
      </c>
      <c r="BG49">
        <v>27</v>
      </c>
      <c r="BH49">
        <v>27</v>
      </c>
      <c r="BI49">
        <v>27</v>
      </c>
      <c r="BJ49">
        <v>27</v>
      </c>
      <c r="BK49">
        <v>29</v>
      </c>
      <c r="BL49">
        <v>29</v>
      </c>
      <c r="BM49">
        <v>31</v>
      </c>
      <c r="BN49">
        <v>32</v>
      </c>
      <c r="BO49">
        <v>34</v>
      </c>
      <c r="BP49">
        <v>34</v>
      </c>
      <c r="BQ49">
        <v>37</v>
      </c>
      <c r="BR49">
        <v>40</v>
      </c>
      <c r="BS49">
        <v>42</v>
      </c>
      <c r="BT49">
        <v>43</v>
      </c>
      <c r="BU49">
        <v>44</v>
      </c>
      <c r="BV49">
        <v>46</v>
      </c>
      <c r="BW49">
        <v>49</v>
      </c>
      <c r="BX49">
        <v>50</v>
      </c>
      <c r="BY49">
        <v>51</v>
      </c>
      <c r="BZ49">
        <v>54</v>
      </c>
      <c r="CA49">
        <v>56</v>
      </c>
      <c r="CB49">
        <v>57</v>
      </c>
      <c r="CC49">
        <v>58</v>
      </c>
      <c r="CD49">
        <v>60</v>
      </c>
      <c r="CE49">
        <v>63</v>
      </c>
      <c r="CF49">
        <v>66</v>
      </c>
      <c r="CG49">
        <v>66</v>
      </c>
      <c r="CH49">
        <v>69</v>
      </c>
      <c r="CI49">
        <v>71</v>
      </c>
      <c r="CJ49">
        <v>73</v>
      </c>
      <c r="CK49">
        <v>73</v>
      </c>
      <c r="CL49">
        <v>73</v>
      </c>
      <c r="CM49">
        <v>73</v>
      </c>
      <c r="CN49">
        <v>73</v>
      </c>
      <c r="CO49">
        <v>73</v>
      </c>
      <c r="CP49">
        <v>73</v>
      </c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</row>
    <row r="50" spans="1:162" x14ac:dyDescent="0.25">
      <c r="A50" s="2"/>
      <c r="B50" s="86"/>
      <c r="C50" s="25" t="s">
        <v>358</v>
      </c>
      <c r="AD50" s="26"/>
      <c r="AF50" s="26"/>
      <c r="AS50" t="s">
        <v>6</v>
      </c>
      <c r="AT50">
        <v>27</v>
      </c>
      <c r="AU50">
        <v>27</v>
      </c>
      <c r="AV50">
        <v>27</v>
      </c>
      <c r="AW50">
        <v>27</v>
      </c>
      <c r="AX50">
        <v>27</v>
      </c>
      <c r="AY50">
        <v>29</v>
      </c>
      <c r="AZ50">
        <v>32</v>
      </c>
      <c r="BA50">
        <v>34</v>
      </c>
      <c r="BB50">
        <v>37</v>
      </c>
      <c r="BC50">
        <v>37</v>
      </c>
      <c r="BD50">
        <v>40</v>
      </c>
      <c r="BE50">
        <v>42</v>
      </c>
      <c r="BF50">
        <v>43</v>
      </c>
      <c r="BG50">
        <v>44</v>
      </c>
      <c r="BH50">
        <v>46</v>
      </c>
      <c r="BI50">
        <v>47</v>
      </c>
      <c r="BJ50">
        <v>49</v>
      </c>
      <c r="BK50">
        <v>51</v>
      </c>
      <c r="BL50">
        <v>53</v>
      </c>
      <c r="BM50">
        <v>31</v>
      </c>
      <c r="BN50">
        <v>56</v>
      </c>
      <c r="BO50">
        <v>57</v>
      </c>
      <c r="BP50">
        <v>58</v>
      </c>
      <c r="BQ50">
        <v>6</v>
      </c>
      <c r="BR50">
        <v>6</v>
      </c>
      <c r="BS50">
        <v>63</v>
      </c>
      <c r="BT50">
        <v>63</v>
      </c>
      <c r="BU50">
        <v>66</v>
      </c>
      <c r="BV50">
        <v>66</v>
      </c>
      <c r="BW50">
        <v>68</v>
      </c>
      <c r="BX50">
        <v>69</v>
      </c>
      <c r="BY50">
        <v>71</v>
      </c>
      <c r="BZ50">
        <v>73</v>
      </c>
      <c r="CA50">
        <v>73</v>
      </c>
      <c r="CB50">
        <v>73</v>
      </c>
      <c r="CC50">
        <v>73</v>
      </c>
      <c r="CD50">
        <v>73</v>
      </c>
      <c r="CE50">
        <v>73</v>
      </c>
      <c r="CF50">
        <v>73</v>
      </c>
      <c r="CG50">
        <v>73</v>
      </c>
      <c r="CH50">
        <v>73</v>
      </c>
      <c r="CI50">
        <v>73</v>
      </c>
      <c r="CJ50">
        <v>73</v>
      </c>
      <c r="CK50">
        <v>73</v>
      </c>
      <c r="CL50">
        <v>73</v>
      </c>
      <c r="CM50">
        <v>73</v>
      </c>
      <c r="CN50">
        <v>73</v>
      </c>
      <c r="CO50">
        <v>73</v>
      </c>
      <c r="CP50">
        <v>73</v>
      </c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</row>
    <row r="51" spans="1:162" x14ac:dyDescent="0.25">
      <c r="A51" s="2"/>
      <c r="B51" s="86"/>
      <c r="C51" t="s">
        <v>359</v>
      </c>
      <c r="AD51" s="26"/>
      <c r="AF51" s="26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</row>
    <row r="52" spans="1:162" x14ac:dyDescent="0.25">
      <c r="A52" s="2"/>
      <c r="B52" s="86"/>
      <c r="N52" s="170" t="s">
        <v>360</v>
      </c>
      <c r="O52" s="170"/>
      <c r="P52" s="170"/>
      <c r="Q52" s="170" t="s">
        <v>361</v>
      </c>
      <c r="R52" s="170"/>
      <c r="S52" s="170"/>
      <c r="T52" s="170" t="s">
        <v>362</v>
      </c>
      <c r="U52" s="170"/>
      <c r="V52" s="170"/>
      <c r="W52" s="170" t="s">
        <v>363</v>
      </c>
      <c r="X52" s="170"/>
      <c r="Y52" s="170"/>
      <c r="Z52" s="170" t="s">
        <v>364</v>
      </c>
      <c r="AA52" s="170"/>
      <c r="AB52" s="170"/>
      <c r="AC52" s="171"/>
      <c r="AD52" s="26"/>
      <c r="AF52" s="26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</row>
    <row r="53" spans="1:162" x14ac:dyDescent="0.25">
      <c r="A53" s="2"/>
      <c r="B53" s="86"/>
      <c r="C53" s="172" t="s">
        <v>14</v>
      </c>
      <c r="D53" s="173" t="s">
        <v>365</v>
      </c>
      <c r="E53" s="173"/>
      <c r="F53" s="173"/>
      <c r="G53" s="173"/>
      <c r="H53" s="173"/>
      <c r="I53" s="173"/>
      <c r="J53" s="174"/>
      <c r="K53" s="173"/>
      <c r="L53" s="173"/>
      <c r="M53" s="17" t="e">
        <f>HLOOKUP(D17,$AT$75:$EN$76,2)</f>
        <v>#N/A</v>
      </c>
      <c r="N53" s="175" t="e">
        <f>IF(M53=5,"x","")</f>
        <v>#N/A</v>
      </c>
      <c r="O53" s="175"/>
      <c r="P53" s="175"/>
      <c r="Q53" s="175" t="e">
        <f>IF(M53=4,"x","")</f>
        <v>#N/A</v>
      </c>
      <c r="R53" s="175"/>
      <c r="S53" s="175"/>
      <c r="T53" s="175" t="e">
        <f>IF(M53=3,"x","")</f>
        <v>#N/A</v>
      </c>
      <c r="U53" s="175"/>
      <c r="V53" s="175"/>
      <c r="W53" s="175" t="e">
        <f>IF(M53=2,"x","")</f>
        <v>#N/A</v>
      </c>
      <c r="X53" s="175"/>
      <c r="Y53" s="175"/>
      <c r="Z53" s="175" t="e">
        <f>IF(M53=1,"x","")</f>
        <v>#N/A</v>
      </c>
      <c r="AA53" s="175"/>
      <c r="AB53" s="175"/>
      <c r="AC53" s="171"/>
      <c r="AD53" s="176"/>
      <c r="AF53" s="26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</row>
    <row r="54" spans="1:162" x14ac:dyDescent="0.25">
      <c r="A54" s="2"/>
      <c r="B54" s="86"/>
      <c r="C54" s="17" t="s">
        <v>326</v>
      </c>
      <c r="D54" s="173" t="s">
        <v>366</v>
      </c>
      <c r="E54" s="173"/>
      <c r="F54" s="173"/>
      <c r="G54" s="173"/>
      <c r="H54" s="173"/>
      <c r="I54" s="173"/>
      <c r="J54" s="174"/>
      <c r="K54" s="173"/>
      <c r="L54" s="173"/>
      <c r="M54" s="17" t="e">
        <f>HLOOKUP(D24,$AT$75:$EN$76,2)</f>
        <v>#N/A</v>
      </c>
      <c r="N54" s="175" t="e">
        <f t="shared" ref="N54:N67" si="16">IF(M54=5,"x","")</f>
        <v>#N/A</v>
      </c>
      <c r="O54" s="175"/>
      <c r="P54" s="175"/>
      <c r="Q54" s="175" t="e">
        <f t="shared" ref="Q54:Q67" si="17">IF(M54=4,"x","")</f>
        <v>#N/A</v>
      </c>
      <c r="R54" s="175"/>
      <c r="S54" s="175"/>
      <c r="T54" s="175" t="e">
        <f t="shared" ref="T54:T67" si="18">IF(M54=3,"x","")</f>
        <v>#N/A</v>
      </c>
      <c r="U54" s="175"/>
      <c r="V54" s="175"/>
      <c r="W54" s="175" t="e">
        <f>IF(M54=2,"x","")</f>
        <v>#N/A</v>
      </c>
      <c r="X54" s="175"/>
      <c r="Y54" s="175"/>
      <c r="Z54" s="175" t="e">
        <f t="shared" ref="Z54:Z67" si="19">IF(M54=1,"x","")</f>
        <v>#N/A</v>
      </c>
      <c r="AA54" s="175"/>
      <c r="AB54" s="175"/>
      <c r="AC54" s="171"/>
      <c r="AD54" s="176"/>
      <c r="AF54" s="26"/>
      <c r="AS54" t="s">
        <v>367</v>
      </c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</row>
    <row r="55" spans="1:162" x14ac:dyDescent="0.25">
      <c r="A55" s="2"/>
      <c r="B55" s="86"/>
      <c r="C55" s="17" t="s">
        <v>328</v>
      </c>
      <c r="D55" s="173" t="s">
        <v>368</v>
      </c>
      <c r="E55" s="173"/>
      <c r="F55" s="173"/>
      <c r="G55" s="173"/>
      <c r="H55" s="173"/>
      <c r="I55" s="173"/>
      <c r="J55" s="174"/>
      <c r="K55" s="173"/>
      <c r="L55" s="173"/>
      <c r="M55" s="17" t="e">
        <f>HLOOKUP(D25,$AT$75:$EN$76,2)</f>
        <v>#N/A</v>
      </c>
      <c r="N55" s="175" t="e">
        <f t="shared" si="16"/>
        <v>#N/A</v>
      </c>
      <c r="O55" s="175"/>
      <c r="P55" s="175"/>
      <c r="Q55" s="175" t="e">
        <f t="shared" si="17"/>
        <v>#N/A</v>
      </c>
      <c r="R55" s="175"/>
      <c r="S55" s="175"/>
      <c r="T55" s="175" t="e">
        <f t="shared" si="18"/>
        <v>#N/A</v>
      </c>
      <c r="U55" s="175"/>
      <c r="V55" s="175"/>
      <c r="W55" s="175" t="e">
        <f t="shared" ref="W55:W67" si="20">IF(M55=2,"x","")</f>
        <v>#N/A</v>
      </c>
      <c r="X55" s="175"/>
      <c r="Y55" s="175"/>
      <c r="Z55" s="175" t="e">
        <f t="shared" si="19"/>
        <v>#N/A</v>
      </c>
      <c r="AA55" s="175"/>
      <c r="AB55" s="175"/>
      <c r="AC55" s="171"/>
      <c r="AD55" s="176"/>
      <c r="AF55" s="26"/>
      <c r="AT55">
        <v>24</v>
      </c>
      <c r="AU55">
        <v>25</v>
      </c>
      <c r="AV55">
        <v>26</v>
      </c>
      <c r="AW55">
        <v>27</v>
      </c>
      <c r="AX55">
        <v>28</v>
      </c>
      <c r="AY55">
        <v>29</v>
      </c>
      <c r="AZ55">
        <v>30</v>
      </c>
      <c r="BA55">
        <v>31</v>
      </c>
      <c r="BB55">
        <v>32</v>
      </c>
      <c r="BC55">
        <v>33</v>
      </c>
      <c r="BD55">
        <v>34</v>
      </c>
      <c r="BE55">
        <v>35</v>
      </c>
      <c r="BF55">
        <v>36</v>
      </c>
      <c r="BG55">
        <v>37</v>
      </c>
      <c r="BH55">
        <v>38</v>
      </c>
      <c r="BI55">
        <v>39</v>
      </c>
      <c r="BJ55">
        <v>40</v>
      </c>
      <c r="BK55">
        <v>41</v>
      </c>
      <c r="BL55">
        <v>42</v>
      </c>
      <c r="BM55">
        <v>43</v>
      </c>
      <c r="BN55">
        <v>44</v>
      </c>
      <c r="BO55">
        <v>45</v>
      </c>
      <c r="BP55">
        <v>46</v>
      </c>
      <c r="BQ55">
        <v>47</v>
      </c>
      <c r="BR55">
        <v>48</v>
      </c>
      <c r="BS55">
        <v>49</v>
      </c>
      <c r="BT55">
        <v>50</v>
      </c>
      <c r="BU55">
        <v>51</v>
      </c>
      <c r="BV55">
        <v>52</v>
      </c>
      <c r="BW55">
        <v>53</v>
      </c>
      <c r="BX55">
        <v>54</v>
      </c>
      <c r="BY55">
        <v>55</v>
      </c>
      <c r="BZ55">
        <v>56</v>
      </c>
      <c r="CA55">
        <v>57</v>
      </c>
      <c r="CB55">
        <v>58</v>
      </c>
      <c r="CC55">
        <v>59</v>
      </c>
      <c r="CD55">
        <v>60</v>
      </c>
      <c r="CE55">
        <v>61</v>
      </c>
      <c r="CF55">
        <v>62</v>
      </c>
      <c r="CG55">
        <v>63</v>
      </c>
      <c r="CH55">
        <v>64</v>
      </c>
      <c r="CI55">
        <v>65</v>
      </c>
      <c r="CJ55">
        <v>66</v>
      </c>
      <c r="CK55">
        <v>67</v>
      </c>
      <c r="CL55">
        <v>68</v>
      </c>
      <c r="CM55">
        <v>69</v>
      </c>
      <c r="CN55">
        <v>70</v>
      </c>
      <c r="CO55">
        <v>71</v>
      </c>
      <c r="CP55">
        <v>72</v>
      </c>
      <c r="CQ55">
        <v>73</v>
      </c>
      <c r="CR55">
        <v>74</v>
      </c>
      <c r="CS55">
        <v>75</v>
      </c>
      <c r="CT55">
        <v>76</v>
      </c>
      <c r="CU55">
        <v>77</v>
      </c>
      <c r="CV55">
        <v>78</v>
      </c>
      <c r="CW55">
        <v>79</v>
      </c>
      <c r="CX55">
        <v>80</v>
      </c>
      <c r="CY55">
        <v>81</v>
      </c>
      <c r="CZ55">
        <v>82</v>
      </c>
      <c r="DA55">
        <v>83</v>
      </c>
      <c r="DB55">
        <v>84</v>
      </c>
      <c r="DC55">
        <v>85</v>
      </c>
      <c r="DD55">
        <v>86</v>
      </c>
      <c r="DE55">
        <v>87</v>
      </c>
      <c r="DF55">
        <v>88</v>
      </c>
      <c r="DG55">
        <v>89</v>
      </c>
      <c r="DH55">
        <v>90</v>
      </c>
      <c r="DI55">
        <v>91</v>
      </c>
      <c r="DJ55">
        <v>92</v>
      </c>
      <c r="DK55">
        <v>93</v>
      </c>
      <c r="DL55">
        <v>94</v>
      </c>
      <c r="DM55">
        <v>95</v>
      </c>
      <c r="DN55">
        <v>96</v>
      </c>
      <c r="DO55">
        <v>97</v>
      </c>
      <c r="DP55">
        <v>98</v>
      </c>
      <c r="DQ55">
        <v>99</v>
      </c>
      <c r="DR55">
        <v>100</v>
      </c>
      <c r="DS55">
        <v>101</v>
      </c>
      <c r="DT55">
        <v>102</v>
      </c>
      <c r="DU55">
        <v>103</v>
      </c>
      <c r="DV55">
        <v>104</v>
      </c>
      <c r="DW55">
        <v>105</v>
      </c>
      <c r="DX55">
        <v>106</v>
      </c>
      <c r="DY55">
        <v>107</v>
      </c>
      <c r="DZ55">
        <v>108</v>
      </c>
      <c r="EA55">
        <v>109</v>
      </c>
      <c r="EB55">
        <v>110</v>
      </c>
      <c r="EC55">
        <v>111</v>
      </c>
      <c r="ED55">
        <v>112</v>
      </c>
      <c r="EE55">
        <v>113</v>
      </c>
      <c r="EF55">
        <v>114</v>
      </c>
      <c r="EG55">
        <v>115</v>
      </c>
      <c r="EH55">
        <v>116</v>
      </c>
      <c r="EI55">
        <v>117</v>
      </c>
      <c r="EJ55">
        <v>118</v>
      </c>
      <c r="EK55">
        <v>119</v>
      </c>
      <c r="EL55">
        <v>120</v>
      </c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</row>
    <row r="56" spans="1:162" x14ac:dyDescent="0.25">
      <c r="A56" s="2"/>
      <c r="B56" s="86"/>
      <c r="C56" s="172" t="s">
        <v>20</v>
      </c>
      <c r="D56" s="173" t="s">
        <v>369</v>
      </c>
      <c r="E56" s="173"/>
      <c r="F56" s="173"/>
      <c r="G56" s="173"/>
      <c r="H56" s="173"/>
      <c r="I56" s="173"/>
      <c r="J56" s="174"/>
      <c r="K56" s="173"/>
      <c r="L56" s="173"/>
      <c r="M56" s="17" t="e">
        <f>HLOOKUP(D18,$AT$75:$EN$76,2)</f>
        <v>#N/A</v>
      </c>
      <c r="N56" s="175" t="e">
        <f t="shared" si="16"/>
        <v>#N/A</v>
      </c>
      <c r="O56" s="175"/>
      <c r="P56" s="175"/>
      <c r="Q56" s="175" t="e">
        <f t="shared" si="17"/>
        <v>#N/A</v>
      </c>
      <c r="R56" s="175"/>
      <c r="S56" s="175"/>
      <c r="T56" s="175" t="e">
        <f t="shared" si="18"/>
        <v>#N/A</v>
      </c>
      <c r="U56" s="175"/>
      <c r="V56" s="175"/>
      <c r="W56" s="175" t="e">
        <f t="shared" si="20"/>
        <v>#N/A</v>
      </c>
      <c r="X56" s="175"/>
      <c r="Y56" s="175"/>
      <c r="Z56" s="175" t="e">
        <f t="shared" si="19"/>
        <v>#N/A</v>
      </c>
      <c r="AA56" s="175"/>
      <c r="AB56" s="175"/>
      <c r="AC56" s="171"/>
      <c r="AD56" s="176"/>
      <c r="AF56" s="26"/>
      <c r="AS56" t="s">
        <v>14</v>
      </c>
      <c r="AT56">
        <v>27</v>
      </c>
      <c r="AU56">
        <v>27</v>
      </c>
      <c r="AV56">
        <v>27</v>
      </c>
      <c r="AW56">
        <v>27</v>
      </c>
      <c r="AX56">
        <v>27</v>
      </c>
      <c r="AY56">
        <v>27</v>
      </c>
      <c r="AZ56">
        <v>27</v>
      </c>
      <c r="BA56">
        <v>27</v>
      </c>
      <c r="BB56">
        <v>27</v>
      </c>
      <c r="BC56">
        <v>27</v>
      </c>
      <c r="BD56">
        <v>27</v>
      </c>
      <c r="BE56">
        <v>27</v>
      </c>
      <c r="BF56">
        <v>27</v>
      </c>
      <c r="BG56">
        <v>27</v>
      </c>
      <c r="BH56">
        <v>27</v>
      </c>
      <c r="BI56">
        <v>27</v>
      </c>
      <c r="BJ56">
        <v>27</v>
      </c>
      <c r="BK56">
        <v>27</v>
      </c>
      <c r="BL56">
        <v>27</v>
      </c>
      <c r="BM56">
        <v>27</v>
      </c>
      <c r="BN56">
        <v>27</v>
      </c>
      <c r="BO56">
        <v>27</v>
      </c>
      <c r="BP56">
        <v>27</v>
      </c>
      <c r="BQ56">
        <v>27</v>
      </c>
      <c r="BR56">
        <v>27</v>
      </c>
      <c r="BS56">
        <v>27</v>
      </c>
      <c r="BT56">
        <v>27</v>
      </c>
      <c r="BU56">
        <v>27</v>
      </c>
      <c r="BV56">
        <v>27</v>
      </c>
      <c r="BW56">
        <v>27</v>
      </c>
      <c r="BX56">
        <v>29</v>
      </c>
      <c r="BY56">
        <v>29</v>
      </c>
      <c r="BZ56">
        <v>29</v>
      </c>
      <c r="CA56">
        <v>31</v>
      </c>
      <c r="CB56">
        <v>32</v>
      </c>
      <c r="CC56">
        <v>34</v>
      </c>
      <c r="CD56">
        <v>34</v>
      </c>
      <c r="CE56">
        <v>34</v>
      </c>
      <c r="CF56">
        <v>34</v>
      </c>
      <c r="CG56">
        <v>37</v>
      </c>
      <c r="CH56">
        <v>37</v>
      </c>
      <c r="CI56">
        <v>37</v>
      </c>
      <c r="CJ56">
        <v>40</v>
      </c>
      <c r="CK56">
        <v>40</v>
      </c>
      <c r="CL56">
        <v>42</v>
      </c>
      <c r="CM56">
        <v>42</v>
      </c>
      <c r="CN56">
        <v>43</v>
      </c>
      <c r="CO56">
        <v>44</v>
      </c>
      <c r="CP56">
        <v>46</v>
      </c>
      <c r="CQ56">
        <v>46</v>
      </c>
      <c r="CR56">
        <v>47</v>
      </c>
      <c r="CS56">
        <v>49</v>
      </c>
      <c r="CT56">
        <v>50</v>
      </c>
      <c r="CU56">
        <v>51</v>
      </c>
      <c r="CV56">
        <v>53</v>
      </c>
      <c r="CW56">
        <v>54</v>
      </c>
      <c r="CX56">
        <v>54</v>
      </c>
      <c r="CY56">
        <v>56</v>
      </c>
      <c r="CZ56">
        <v>57</v>
      </c>
      <c r="DA56">
        <v>57</v>
      </c>
      <c r="DB56">
        <v>58</v>
      </c>
      <c r="DC56">
        <v>60</v>
      </c>
      <c r="DD56">
        <v>60</v>
      </c>
      <c r="DE56">
        <v>63</v>
      </c>
      <c r="DF56">
        <v>63</v>
      </c>
      <c r="DG56">
        <v>63</v>
      </c>
      <c r="DH56">
        <v>63</v>
      </c>
      <c r="DI56">
        <v>66</v>
      </c>
      <c r="DJ56">
        <v>66</v>
      </c>
      <c r="DK56">
        <v>66</v>
      </c>
      <c r="DL56">
        <v>68</v>
      </c>
      <c r="DM56">
        <v>68</v>
      </c>
      <c r="DN56">
        <v>69</v>
      </c>
      <c r="DO56">
        <v>69</v>
      </c>
      <c r="DP56">
        <v>71</v>
      </c>
      <c r="DQ56">
        <v>71</v>
      </c>
      <c r="DR56">
        <v>73</v>
      </c>
      <c r="DS56">
        <v>73</v>
      </c>
      <c r="DT56">
        <v>73</v>
      </c>
      <c r="DU56">
        <v>73</v>
      </c>
      <c r="DV56">
        <v>73</v>
      </c>
      <c r="DW56">
        <v>73</v>
      </c>
      <c r="DX56">
        <v>73</v>
      </c>
      <c r="DY56">
        <v>73</v>
      </c>
      <c r="DZ56">
        <v>73</v>
      </c>
      <c r="EA56">
        <v>73</v>
      </c>
      <c r="EB56">
        <v>73</v>
      </c>
      <c r="EC56">
        <v>73</v>
      </c>
      <c r="ED56">
        <v>73</v>
      </c>
      <c r="EE56">
        <v>73</v>
      </c>
      <c r="EF56">
        <v>73</v>
      </c>
      <c r="EG56">
        <v>73</v>
      </c>
      <c r="EH56">
        <v>73</v>
      </c>
      <c r="EI56">
        <v>73</v>
      </c>
      <c r="EJ56">
        <v>73</v>
      </c>
      <c r="EK56">
        <v>73</v>
      </c>
      <c r="EL56">
        <v>73</v>
      </c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</row>
    <row r="57" spans="1:162" x14ac:dyDescent="0.25">
      <c r="A57" s="2"/>
      <c r="B57" s="86"/>
      <c r="C57" s="17" t="s">
        <v>330</v>
      </c>
      <c r="D57" s="173" t="s">
        <v>370</v>
      </c>
      <c r="E57" s="173"/>
      <c r="F57" s="173"/>
      <c r="G57" s="173"/>
      <c r="H57" s="173"/>
      <c r="I57" s="173"/>
      <c r="J57" s="174"/>
      <c r="K57" s="173"/>
      <c r="L57" s="173"/>
      <c r="M57" s="17" t="e">
        <f>HLOOKUP(D26,$AT$75:$EN$76,2)</f>
        <v>#N/A</v>
      </c>
      <c r="N57" s="175" t="e">
        <f t="shared" si="16"/>
        <v>#N/A</v>
      </c>
      <c r="O57" s="175"/>
      <c r="P57" s="175"/>
      <c r="Q57" s="175" t="e">
        <f t="shared" si="17"/>
        <v>#N/A</v>
      </c>
      <c r="R57" s="175"/>
      <c r="S57" s="175"/>
      <c r="T57" s="175" t="e">
        <f t="shared" si="18"/>
        <v>#N/A</v>
      </c>
      <c r="U57" s="175"/>
      <c r="V57" s="175"/>
      <c r="W57" s="175" t="e">
        <f t="shared" si="20"/>
        <v>#N/A</v>
      </c>
      <c r="X57" s="175"/>
      <c r="Y57" s="175"/>
      <c r="Z57" s="175" t="e">
        <f t="shared" si="19"/>
        <v>#N/A</v>
      </c>
      <c r="AA57" s="175"/>
      <c r="AB57" s="175"/>
      <c r="AC57" s="171"/>
      <c r="AD57" s="176"/>
      <c r="AF57" s="26"/>
      <c r="AS57" t="s">
        <v>20</v>
      </c>
      <c r="AT57">
        <v>27</v>
      </c>
      <c r="AU57">
        <v>27</v>
      </c>
      <c r="AV57">
        <v>27</v>
      </c>
      <c r="AW57">
        <v>27</v>
      </c>
      <c r="AX57">
        <v>27</v>
      </c>
      <c r="AY57">
        <v>27</v>
      </c>
      <c r="AZ57">
        <v>27</v>
      </c>
      <c r="BA57">
        <v>27</v>
      </c>
      <c r="BB57">
        <v>27</v>
      </c>
      <c r="BC57">
        <v>27</v>
      </c>
      <c r="BD57">
        <v>27</v>
      </c>
      <c r="BE57">
        <v>27</v>
      </c>
      <c r="BF57">
        <v>27</v>
      </c>
      <c r="BG57">
        <v>27</v>
      </c>
      <c r="BH57">
        <v>27</v>
      </c>
      <c r="BI57">
        <v>27</v>
      </c>
      <c r="BJ57">
        <v>27</v>
      </c>
      <c r="BK57">
        <v>27</v>
      </c>
      <c r="BL57">
        <v>27</v>
      </c>
      <c r="BM57">
        <v>27</v>
      </c>
      <c r="BN57">
        <v>27</v>
      </c>
      <c r="BO57">
        <v>27</v>
      </c>
      <c r="BP57">
        <v>27</v>
      </c>
      <c r="BQ57">
        <v>27</v>
      </c>
      <c r="BR57">
        <v>27</v>
      </c>
      <c r="BS57">
        <v>27</v>
      </c>
      <c r="BT57">
        <v>27</v>
      </c>
      <c r="BU57">
        <v>27</v>
      </c>
      <c r="BV57">
        <v>27</v>
      </c>
      <c r="BW57">
        <v>27</v>
      </c>
      <c r="BX57">
        <v>27</v>
      </c>
      <c r="BY57">
        <v>27</v>
      </c>
      <c r="BZ57">
        <v>27</v>
      </c>
      <c r="CA57">
        <v>27</v>
      </c>
      <c r="CB57">
        <v>27</v>
      </c>
      <c r="CC57">
        <v>27</v>
      </c>
      <c r="CD57">
        <v>27</v>
      </c>
      <c r="CE57">
        <v>29</v>
      </c>
      <c r="CF57">
        <v>29</v>
      </c>
      <c r="CG57">
        <v>29</v>
      </c>
      <c r="CH57">
        <v>31</v>
      </c>
      <c r="CI57">
        <v>31</v>
      </c>
      <c r="CJ57">
        <v>32</v>
      </c>
      <c r="CK57">
        <v>34</v>
      </c>
      <c r="CL57">
        <v>34</v>
      </c>
      <c r="CM57">
        <v>37</v>
      </c>
      <c r="CN57">
        <v>37</v>
      </c>
      <c r="CO57">
        <v>37</v>
      </c>
      <c r="CP57">
        <v>40</v>
      </c>
      <c r="CQ57">
        <v>42</v>
      </c>
      <c r="CR57">
        <v>42</v>
      </c>
      <c r="CS57">
        <v>43</v>
      </c>
      <c r="CT57">
        <v>43</v>
      </c>
      <c r="CU57">
        <v>44</v>
      </c>
      <c r="CV57">
        <v>46</v>
      </c>
      <c r="CW57">
        <v>47</v>
      </c>
      <c r="CX57">
        <v>49</v>
      </c>
      <c r="CY57">
        <v>50</v>
      </c>
      <c r="CZ57">
        <v>51</v>
      </c>
      <c r="DA57">
        <v>53</v>
      </c>
      <c r="DB57">
        <v>54</v>
      </c>
      <c r="DC57">
        <v>54</v>
      </c>
      <c r="DD57">
        <v>56</v>
      </c>
      <c r="DE57">
        <v>57</v>
      </c>
      <c r="DF57">
        <v>58</v>
      </c>
      <c r="DG57">
        <v>60</v>
      </c>
      <c r="DH57">
        <v>60</v>
      </c>
      <c r="DI57">
        <v>63</v>
      </c>
      <c r="DJ57">
        <v>63</v>
      </c>
      <c r="DK57">
        <v>66</v>
      </c>
      <c r="DL57">
        <v>66</v>
      </c>
      <c r="DM57">
        <v>66</v>
      </c>
      <c r="DN57">
        <v>68</v>
      </c>
      <c r="DO57">
        <v>68</v>
      </c>
      <c r="DP57">
        <v>69</v>
      </c>
      <c r="DQ57">
        <v>71</v>
      </c>
      <c r="DR57">
        <v>71</v>
      </c>
      <c r="DS57">
        <v>73</v>
      </c>
      <c r="DT57">
        <v>73</v>
      </c>
      <c r="DU57">
        <v>73</v>
      </c>
      <c r="DV57">
        <v>73</v>
      </c>
      <c r="DW57">
        <v>73</v>
      </c>
      <c r="DX57">
        <v>73</v>
      </c>
      <c r="DY57">
        <v>73</v>
      </c>
      <c r="DZ57">
        <v>73</v>
      </c>
      <c r="EA57">
        <v>73</v>
      </c>
      <c r="EB57">
        <v>73</v>
      </c>
      <c r="EC57">
        <v>73</v>
      </c>
      <c r="ED57">
        <v>73</v>
      </c>
      <c r="EE57">
        <v>73</v>
      </c>
      <c r="EF57">
        <v>73</v>
      </c>
      <c r="EG57">
        <v>73</v>
      </c>
      <c r="EH57">
        <v>73</v>
      </c>
      <c r="EI57">
        <v>73</v>
      </c>
      <c r="EJ57">
        <v>73</v>
      </c>
      <c r="EK57">
        <v>73</v>
      </c>
      <c r="EL57">
        <v>73</v>
      </c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</row>
    <row r="58" spans="1:162" x14ac:dyDescent="0.25">
      <c r="A58" s="2"/>
      <c r="B58" s="86"/>
      <c r="C58" s="17" t="s">
        <v>331</v>
      </c>
      <c r="D58" s="173" t="s">
        <v>371</v>
      </c>
      <c r="E58" s="173"/>
      <c r="F58" s="173"/>
      <c r="G58" s="173"/>
      <c r="H58" s="173"/>
      <c r="I58" s="173"/>
      <c r="J58" s="174"/>
      <c r="K58" s="173"/>
      <c r="L58" s="173"/>
      <c r="M58" s="17" t="e">
        <f>HLOOKUP(D27,$AT$75:$EN$76,2)</f>
        <v>#N/A</v>
      </c>
      <c r="N58" s="175" t="e">
        <f t="shared" si="16"/>
        <v>#N/A</v>
      </c>
      <c r="O58" s="175"/>
      <c r="P58" s="175"/>
      <c r="Q58" s="175" t="e">
        <f t="shared" si="17"/>
        <v>#N/A</v>
      </c>
      <c r="R58" s="175"/>
      <c r="S58" s="175"/>
      <c r="T58" s="175" t="e">
        <f t="shared" si="18"/>
        <v>#N/A</v>
      </c>
      <c r="U58" s="175"/>
      <c r="V58" s="175"/>
      <c r="W58" s="175" t="e">
        <f t="shared" si="20"/>
        <v>#N/A</v>
      </c>
      <c r="X58" s="175"/>
      <c r="Y58" s="175"/>
      <c r="Z58" s="175" t="e">
        <f t="shared" si="19"/>
        <v>#N/A</v>
      </c>
      <c r="AA58" s="175"/>
      <c r="AB58" s="175"/>
      <c r="AC58" s="171"/>
      <c r="AD58" s="176"/>
      <c r="AF58" s="26"/>
      <c r="AS58" t="s">
        <v>24</v>
      </c>
      <c r="AT58">
        <v>27</v>
      </c>
      <c r="AU58">
        <v>27</v>
      </c>
      <c r="AV58">
        <v>27</v>
      </c>
      <c r="AW58">
        <v>27</v>
      </c>
      <c r="AX58">
        <v>27</v>
      </c>
      <c r="AY58">
        <v>27</v>
      </c>
      <c r="AZ58">
        <v>27</v>
      </c>
      <c r="BA58">
        <v>27</v>
      </c>
      <c r="BB58">
        <v>27</v>
      </c>
      <c r="BC58">
        <v>27</v>
      </c>
      <c r="BD58">
        <v>27</v>
      </c>
      <c r="BE58">
        <v>27</v>
      </c>
      <c r="BF58">
        <v>27</v>
      </c>
      <c r="BG58">
        <v>27</v>
      </c>
      <c r="BH58">
        <v>27</v>
      </c>
      <c r="BI58">
        <v>27</v>
      </c>
      <c r="BJ58">
        <v>27</v>
      </c>
      <c r="BK58">
        <v>27</v>
      </c>
      <c r="BL58">
        <v>27</v>
      </c>
      <c r="BM58">
        <v>27</v>
      </c>
      <c r="BN58">
        <v>27</v>
      </c>
      <c r="BO58">
        <v>27</v>
      </c>
      <c r="BP58">
        <v>27</v>
      </c>
      <c r="BQ58">
        <v>27</v>
      </c>
      <c r="BR58">
        <v>27</v>
      </c>
      <c r="BS58">
        <v>27</v>
      </c>
      <c r="BT58">
        <v>27</v>
      </c>
      <c r="BU58">
        <v>27</v>
      </c>
      <c r="BV58">
        <v>27</v>
      </c>
      <c r="BW58">
        <v>27</v>
      </c>
      <c r="BX58">
        <v>27</v>
      </c>
      <c r="BY58">
        <v>29</v>
      </c>
      <c r="BZ58">
        <v>29</v>
      </c>
      <c r="CA58">
        <v>29</v>
      </c>
      <c r="CB58">
        <v>31</v>
      </c>
      <c r="CC58">
        <v>31</v>
      </c>
      <c r="CD58">
        <v>32</v>
      </c>
      <c r="CE58">
        <v>32</v>
      </c>
      <c r="CF58">
        <v>34</v>
      </c>
      <c r="CG58">
        <v>34</v>
      </c>
      <c r="CH58">
        <v>34</v>
      </c>
      <c r="CI58">
        <v>34</v>
      </c>
      <c r="CJ58">
        <v>37</v>
      </c>
      <c r="CK58">
        <v>37</v>
      </c>
      <c r="CL58">
        <v>37</v>
      </c>
      <c r="CM58">
        <v>40</v>
      </c>
      <c r="CN58">
        <v>40</v>
      </c>
      <c r="CO58">
        <v>42</v>
      </c>
      <c r="CP58">
        <v>42</v>
      </c>
      <c r="CQ58">
        <v>43</v>
      </c>
      <c r="CR58">
        <v>43</v>
      </c>
      <c r="CS58">
        <v>44</v>
      </c>
      <c r="CT58">
        <v>46</v>
      </c>
      <c r="CU58">
        <v>47</v>
      </c>
      <c r="CV58">
        <v>49</v>
      </c>
      <c r="CW58">
        <v>50</v>
      </c>
      <c r="CX58">
        <v>50</v>
      </c>
      <c r="CY58">
        <v>51</v>
      </c>
      <c r="CZ58">
        <v>53</v>
      </c>
      <c r="DA58">
        <v>54</v>
      </c>
      <c r="DB58">
        <v>54</v>
      </c>
      <c r="DC58">
        <v>56</v>
      </c>
      <c r="DD58">
        <v>57</v>
      </c>
      <c r="DE58">
        <v>57</v>
      </c>
      <c r="DF58">
        <v>58</v>
      </c>
      <c r="DG58">
        <v>60</v>
      </c>
      <c r="DH58">
        <v>60</v>
      </c>
      <c r="DI58">
        <v>63</v>
      </c>
      <c r="DJ58">
        <v>63</v>
      </c>
      <c r="DK58">
        <v>63</v>
      </c>
      <c r="DL58">
        <v>66</v>
      </c>
      <c r="DM58">
        <v>66</v>
      </c>
      <c r="DN58">
        <v>66</v>
      </c>
      <c r="DO58">
        <v>68</v>
      </c>
      <c r="DP58">
        <v>69</v>
      </c>
      <c r="DQ58">
        <v>71</v>
      </c>
      <c r="DR58">
        <v>71</v>
      </c>
      <c r="DS58">
        <v>73</v>
      </c>
      <c r="DT58">
        <v>73</v>
      </c>
      <c r="DU58">
        <v>73</v>
      </c>
      <c r="DV58">
        <v>73</v>
      </c>
      <c r="DW58">
        <v>73</v>
      </c>
      <c r="DX58">
        <v>73</v>
      </c>
      <c r="DY58">
        <v>73</v>
      </c>
      <c r="DZ58">
        <v>73</v>
      </c>
      <c r="EA58">
        <v>73</v>
      </c>
      <c r="EB58">
        <v>73</v>
      </c>
      <c r="EC58">
        <v>73</v>
      </c>
      <c r="ED58">
        <v>73</v>
      </c>
      <c r="EE58">
        <v>73</v>
      </c>
      <c r="EF58">
        <v>73</v>
      </c>
      <c r="EG58">
        <v>73</v>
      </c>
      <c r="EH58">
        <v>73</v>
      </c>
      <c r="EI58">
        <v>73</v>
      </c>
      <c r="EJ58">
        <v>73</v>
      </c>
      <c r="EK58">
        <v>73</v>
      </c>
      <c r="EL58">
        <v>73</v>
      </c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</row>
    <row r="59" spans="1:162" x14ac:dyDescent="0.25">
      <c r="A59" s="2"/>
      <c r="B59" s="86"/>
      <c r="C59" s="172" t="s">
        <v>24</v>
      </c>
      <c r="D59" s="173" t="s">
        <v>372</v>
      </c>
      <c r="E59" s="173"/>
      <c r="F59" s="173"/>
      <c r="G59" s="173"/>
      <c r="H59" s="173"/>
      <c r="I59" s="173"/>
      <c r="J59" s="174"/>
      <c r="K59" s="173"/>
      <c r="L59" s="173"/>
      <c r="M59" s="17" t="e">
        <f>HLOOKUP(D19,$AT$75:$EN$76,2)</f>
        <v>#N/A</v>
      </c>
      <c r="N59" s="175" t="e">
        <f t="shared" si="16"/>
        <v>#N/A</v>
      </c>
      <c r="O59" s="175"/>
      <c r="P59" s="175"/>
      <c r="Q59" s="175" t="e">
        <f t="shared" si="17"/>
        <v>#N/A</v>
      </c>
      <c r="R59" s="175"/>
      <c r="S59" s="175"/>
      <c r="T59" s="175" t="e">
        <f t="shared" si="18"/>
        <v>#N/A</v>
      </c>
      <c r="U59" s="175"/>
      <c r="V59" s="175"/>
      <c r="W59" s="175" t="e">
        <f t="shared" si="20"/>
        <v>#N/A</v>
      </c>
      <c r="X59" s="175"/>
      <c r="Y59" s="175"/>
      <c r="Z59" s="175" t="e">
        <f t="shared" si="19"/>
        <v>#N/A</v>
      </c>
      <c r="AA59" s="175"/>
      <c r="AB59" s="175"/>
      <c r="AC59" s="171"/>
      <c r="AD59" s="176"/>
      <c r="AF59" s="26"/>
      <c r="AS59" t="s">
        <v>28</v>
      </c>
      <c r="AT59">
        <v>27</v>
      </c>
      <c r="AU59">
        <v>27</v>
      </c>
      <c r="AV59">
        <v>27</v>
      </c>
      <c r="AW59">
        <v>27</v>
      </c>
      <c r="AX59">
        <v>27</v>
      </c>
      <c r="AY59">
        <v>27</v>
      </c>
      <c r="AZ59">
        <v>27</v>
      </c>
      <c r="BA59">
        <v>27</v>
      </c>
      <c r="BB59">
        <v>27</v>
      </c>
      <c r="BC59">
        <v>27</v>
      </c>
      <c r="BD59">
        <v>27</v>
      </c>
      <c r="BE59">
        <v>27</v>
      </c>
      <c r="BF59">
        <v>27</v>
      </c>
      <c r="BG59">
        <v>27</v>
      </c>
      <c r="BH59">
        <v>27</v>
      </c>
      <c r="BI59">
        <v>27</v>
      </c>
      <c r="BJ59">
        <v>27</v>
      </c>
      <c r="BK59">
        <v>29</v>
      </c>
      <c r="BL59">
        <v>29</v>
      </c>
      <c r="BM59">
        <v>29</v>
      </c>
      <c r="BN59">
        <v>29</v>
      </c>
      <c r="BO59">
        <v>31</v>
      </c>
      <c r="BP59">
        <v>31</v>
      </c>
      <c r="BQ59">
        <v>32</v>
      </c>
      <c r="BR59">
        <v>34</v>
      </c>
      <c r="BS59">
        <v>34</v>
      </c>
      <c r="BT59">
        <v>37</v>
      </c>
      <c r="BU59">
        <v>37</v>
      </c>
      <c r="BV59">
        <v>37</v>
      </c>
      <c r="BW59">
        <v>37</v>
      </c>
      <c r="BX59">
        <v>40</v>
      </c>
      <c r="BY59">
        <v>40</v>
      </c>
      <c r="BZ59">
        <v>40</v>
      </c>
      <c r="CA59">
        <v>42</v>
      </c>
      <c r="CB59">
        <v>42</v>
      </c>
      <c r="CC59">
        <v>42</v>
      </c>
      <c r="CD59">
        <v>43</v>
      </c>
      <c r="CE59">
        <v>43</v>
      </c>
      <c r="CF59">
        <v>43</v>
      </c>
      <c r="CG59">
        <v>44</v>
      </c>
      <c r="CH59">
        <v>46</v>
      </c>
      <c r="CI59">
        <v>46</v>
      </c>
      <c r="CJ59">
        <v>47</v>
      </c>
      <c r="CK59">
        <v>47</v>
      </c>
      <c r="CL59">
        <v>49</v>
      </c>
      <c r="CM59">
        <v>49</v>
      </c>
      <c r="CN59">
        <v>50</v>
      </c>
      <c r="CO59">
        <v>51</v>
      </c>
      <c r="CP59">
        <v>51</v>
      </c>
      <c r="CQ59">
        <v>53</v>
      </c>
      <c r="CR59">
        <v>54</v>
      </c>
      <c r="CS59">
        <v>56</v>
      </c>
      <c r="CT59">
        <v>56</v>
      </c>
      <c r="CU59">
        <v>57</v>
      </c>
      <c r="CV59">
        <v>57</v>
      </c>
      <c r="CW59">
        <v>58</v>
      </c>
      <c r="CX59">
        <v>58</v>
      </c>
      <c r="CY59">
        <v>58</v>
      </c>
      <c r="CZ59">
        <v>60</v>
      </c>
      <c r="DA59">
        <v>60</v>
      </c>
      <c r="DB59">
        <v>63</v>
      </c>
      <c r="DC59">
        <v>63</v>
      </c>
      <c r="DD59">
        <v>63</v>
      </c>
      <c r="DE59">
        <v>63</v>
      </c>
      <c r="DF59">
        <v>66</v>
      </c>
      <c r="DG59">
        <v>66</v>
      </c>
      <c r="DH59">
        <v>66</v>
      </c>
      <c r="DI59">
        <v>68</v>
      </c>
      <c r="DJ59">
        <v>68</v>
      </c>
      <c r="DK59">
        <v>69</v>
      </c>
      <c r="DL59">
        <v>69</v>
      </c>
      <c r="DM59">
        <v>71</v>
      </c>
      <c r="DN59">
        <v>71</v>
      </c>
      <c r="DO59">
        <v>73</v>
      </c>
      <c r="DP59">
        <v>73</v>
      </c>
      <c r="DQ59">
        <v>73</v>
      </c>
      <c r="DR59">
        <v>73</v>
      </c>
      <c r="DS59">
        <v>73</v>
      </c>
      <c r="DT59">
        <v>73</v>
      </c>
      <c r="DU59">
        <v>73</v>
      </c>
      <c r="DV59">
        <v>73</v>
      </c>
      <c r="DW59">
        <v>73</v>
      </c>
      <c r="DX59">
        <v>73</v>
      </c>
      <c r="DY59">
        <v>73</v>
      </c>
      <c r="DZ59">
        <v>73</v>
      </c>
      <c r="EA59">
        <v>73</v>
      </c>
      <c r="EB59">
        <v>73</v>
      </c>
      <c r="EC59">
        <v>73</v>
      </c>
      <c r="ED59">
        <v>73</v>
      </c>
      <c r="EE59">
        <v>73</v>
      </c>
      <c r="EF59">
        <v>73</v>
      </c>
      <c r="EG59">
        <v>73</v>
      </c>
      <c r="EH59">
        <v>73</v>
      </c>
      <c r="EI59">
        <v>73</v>
      </c>
      <c r="EJ59">
        <v>73</v>
      </c>
      <c r="EK59">
        <v>73</v>
      </c>
      <c r="EL59">
        <v>73</v>
      </c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</row>
    <row r="60" spans="1:162" x14ac:dyDescent="0.25">
      <c r="A60" s="2"/>
      <c r="B60" s="86"/>
      <c r="C60" s="17" t="s">
        <v>332</v>
      </c>
      <c r="D60" s="173" t="s">
        <v>373</v>
      </c>
      <c r="E60" s="173"/>
      <c r="F60" s="173"/>
      <c r="G60" s="173"/>
      <c r="H60" s="173"/>
      <c r="I60" s="173"/>
      <c r="J60" s="174"/>
      <c r="K60" s="173"/>
      <c r="L60" s="173"/>
      <c r="M60" s="17" t="e">
        <f>HLOOKUP(D28,$AT$75:$EN$76,2)</f>
        <v>#N/A</v>
      </c>
      <c r="N60" s="175" t="e">
        <f t="shared" si="16"/>
        <v>#N/A</v>
      </c>
      <c r="O60" s="175"/>
      <c r="P60" s="175"/>
      <c r="Q60" s="175" t="e">
        <f t="shared" si="17"/>
        <v>#N/A</v>
      </c>
      <c r="R60" s="175"/>
      <c r="S60" s="175"/>
      <c r="T60" s="175" t="e">
        <f t="shared" si="18"/>
        <v>#N/A</v>
      </c>
      <c r="U60" s="175"/>
      <c r="V60" s="175"/>
      <c r="W60" s="175" t="e">
        <f t="shared" si="20"/>
        <v>#N/A</v>
      </c>
      <c r="X60" s="175"/>
      <c r="Y60" s="175"/>
      <c r="Z60" s="175" t="e">
        <f t="shared" si="19"/>
        <v>#N/A</v>
      </c>
      <c r="AA60" s="175"/>
      <c r="AB60" s="175"/>
      <c r="AC60" s="171"/>
      <c r="AD60" s="176"/>
      <c r="AF60" s="26"/>
      <c r="AS60" t="s">
        <v>32</v>
      </c>
      <c r="AT60">
        <v>27</v>
      </c>
      <c r="AU60">
        <v>27</v>
      </c>
      <c r="AV60">
        <v>27</v>
      </c>
      <c r="AW60">
        <v>27</v>
      </c>
      <c r="AX60">
        <v>27</v>
      </c>
      <c r="AY60">
        <v>27</v>
      </c>
      <c r="AZ60">
        <v>27</v>
      </c>
      <c r="BA60">
        <v>27</v>
      </c>
      <c r="BB60">
        <v>27</v>
      </c>
      <c r="BC60">
        <v>27</v>
      </c>
      <c r="BD60">
        <v>27</v>
      </c>
      <c r="BE60">
        <v>27</v>
      </c>
      <c r="BF60">
        <v>27</v>
      </c>
      <c r="BG60">
        <v>27</v>
      </c>
      <c r="BH60">
        <v>27</v>
      </c>
      <c r="BI60">
        <v>27</v>
      </c>
      <c r="BJ60">
        <v>27</v>
      </c>
      <c r="BK60">
        <v>27</v>
      </c>
      <c r="BL60">
        <v>27</v>
      </c>
      <c r="BM60">
        <v>27</v>
      </c>
      <c r="BN60">
        <v>27</v>
      </c>
      <c r="BO60">
        <v>27</v>
      </c>
      <c r="BP60">
        <v>27</v>
      </c>
      <c r="BQ60">
        <v>27</v>
      </c>
      <c r="BR60">
        <v>27</v>
      </c>
      <c r="BS60">
        <v>27</v>
      </c>
      <c r="BT60">
        <v>27</v>
      </c>
      <c r="BU60">
        <v>27</v>
      </c>
      <c r="BV60">
        <v>27</v>
      </c>
      <c r="BW60">
        <v>27</v>
      </c>
      <c r="BX60">
        <v>27</v>
      </c>
      <c r="BY60">
        <v>27</v>
      </c>
      <c r="BZ60">
        <v>27</v>
      </c>
      <c r="CA60">
        <v>27</v>
      </c>
      <c r="CB60">
        <v>27</v>
      </c>
      <c r="CC60">
        <v>27</v>
      </c>
      <c r="CD60">
        <v>29</v>
      </c>
      <c r="CE60">
        <v>29</v>
      </c>
      <c r="CF60">
        <v>31</v>
      </c>
      <c r="CG60">
        <v>31</v>
      </c>
      <c r="CH60">
        <v>32</v>
      </c>
      <c r="CI60">
        <v>32</v>
      </c>
      <c r="CJ60">
        <v>34</v>
      </c>
      <c r="CK60">
        <v>34</v>
      </c>
      <c r="CL60">
        <v>34</v>
      </c>
      <c r="CM60">
        <v>37</v>
      </c>
      <c r="CN60">
        <v>37</v>
      </c>
      <c r="CO60">
        <v>40</v>
      </c>
      <c r="CP60">
        <v>40</v>
      </c>
      <c r="CQ60">
        <v>42</v>
      </c>
      <c r="CR60">
        <v>42</v>
      </c>
      <c r="CS60">
        <v>43</v>
      </c>
      <c r="CT60">
        <v>43</v>
      </c>
      <c r="CU60">
        <v>44</v>
      </c>
      <c r="CV60">
        <v>44</v>
      </c>
      <c r="CW60">
        <v>46</v>
      </c>
      <c r="CX60">
        <v>47</v>
      </c>
      <c r="CY60">
        <v>49</v>
      </c>
      <c r="CZ60">
        <v>49</v>
      </c>
      <c r="DA60">
        <v>50</v>
      </c>
      <c r="DB60">
        <v>51</v>
      </c>
      <c r="DC60">
        <v>53</v>
      </c>
      <c r="DD60">
        <v>53</v>
      </c>
      <c r="DE60">
        <v>54</v>
      </c>
      <c r="DF60">
        <v>56</v>
      </c>
      <c r="DG60">
        <v>56</v>
      </c>
      <c r="DH60">
        <v>57</v>
      </c>
      <c r="DI60">
        <v>57</v>
      </c>
      <c r="DJ60">
        <v>58</v>
      </c>
      <c r="DK60">
        <v>58</v>
      </c>
      <c r="DL60">
        <v>60</v>
      </c>
      <c r="DM60">
        <v>60</v>
      </c>
      <c r="DN60">
        <v>60</v>
      </c>
      <c r="DO60">
        <v>63</v>
      </c>
      <c r="DP60">
        <v>63</v>
      </c>
      <c r="DQ60">
        <v>63</v>
      </c>
      <c r="DR60">
        <v>66</v>
      </c>
      <c r="DS60">
        <v>66</v>
      </c>
      <c r="DT60">
        <v>68</v>
      </c>
      <c r="DU60">
        <v>68</v>
      </c>
      <c r="DV60">
        <v>69</v>
      </c>
      <c r="DW60">
        <v>71</v>
      </c>
      <c r="DX60">
        <v>73</v>
      </c>
      <c r="DY60">
        <v>73</v>
      </c>
      <c r="DZ60">
        <v>73</v>
      </c>
      <c r="EA60">
        <v>73</v>
      </c>
      <c r="EB60">
        <v>73</v>
      </c>
      <c r="EC60">
        <v>73</v>
      </c>
      <c r="ED60">
        <v>73</v>
      </c>
      <c r="EE60">
        <v>73</v>
      </c>
      <c r="EF60">
        <v>73</v>
      </c>
      <c r="EG60">
        <v>73</v>
      </c>
      <c r="EH60">
        <v>73</v>
      </c>
      <c r="EI60">
        <v>73</v>
      </c>
      <c r="EJ60">
        <v>73</v>
      </c>
      <c r="EK60">
        <v>73</v>
      </c>
      <c r="EL60">
        <v>73</v>
      </c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</row>
    <row r="61" spans="1:162" x14ac:dyDescent="0.25">
      <c r="A61" s="2"/>
      <c r="B61" s="86"/>
      <c r="C61" s="17" t="s">
        <v>333</v>
      </c>
      <c r="D61" s="173" t="s">
        <v>374</v>
      </c>
      <c r="E61" s="173"/>
      <c r="F61" s="173"/>
      <c r="G61" s="173"/>
      <c r="H61" s="173"/>
      <c r="I61" s="173"/>
      <c r="J61" s="174"/>
      <c r="K61" s="173"/>
      <c r="L61" s="173"/>
      <c r="M61" s="17" t="e">
        <f>HLOOKUP(D29,$AT$75:$EN$76,2)</f>
        <v>#N/A</v>
      </c>
      <c r="N61" s="175" t="e">
        <f t="shared" si="16"/>
        <v>#N/A</v>
      </c>
      <c r="O61" s="175"/>
      <c r="P61" s="175"/>
      <c r="Q61" s="175" t="e">
        <f t="shared" si="17"/>
        <v>#N/A</v>
      </c>
      <c r="R61" s="175"/>
      <c r="S61" s="175"/>
      <c r="T61" s="175" t="e">
        <f t="shared" si="18"/>
        <v>#N/A</v>
      </c>
      <c r="U61" s="175"/>
      <c r="V61" s="175"/>
      <c r="W61" s="175" t="e">
        <f t="shared" si="20"/>
        <v>#N/A</v>
      </c>
      <c r="X61" s="175"/>
      <c r="Y61" s="175"/>
      <c r="Z61" s="175" t="e">
        <f t="shared" si="19"/>
        <v>#N/A</v>
      </c>
      <c r="AA61" s="175"/>
      <c r="AB61" s="175"/>
      <c r="AC61" s="171"/>
      <c r="AD61" s="176"/>
      <c r="AF61" s="26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</row>
    <row r="62" spans="1:162" x14ac:dyDescent="0.25">
      <c r="A62" s="2"/>
      <c r="B62" s="86"/>
      <c r="C62" s="172" t="s">
        <v>28</v>
      </c>
      <c r="D62" s="173" t="s">
        <v>375</v>
      </c>
      <c r="E62" s="173"/>
      <c r="F62" s="173"/>
      <c r="G62" s="173"/>
      <c r="H62" s="173"/>
      <c r="I62" s="173"/>
      <c r="J62" s="174"/>
      <c r="K62" s="173"/>
      <c r="L62" s="173"/>
      <c r="M62" s="17" t="e">
        <f>HLOOKUP(D20,$AT$75:$EN$76,2)</f>
        <v>#N/A</v>
      </c>
      <c r="N62" s="175" t="e">
        <f t="shared" si="16"/>
        <v>#N/A</v>
      </c>
      <c r="O62" s="175"/>
      <c r="P62" s="175"/>
      <c r="Q62" s="175" t="e">
        <f t="shared" si="17"/>
        <v>#N/A</v>
      </c>
      <c r="R62" s="175"/>
      <c r="S62" s="175"/>
      <c r="T62" s="175" t="e">
        <f t="shared" si="18"/>
        <v>#N/A</v>
      </c>
      <c r="U62" s="175"/>
      <c r="V62" s="175"/>
      <c r="W62" s="175" t="e">
        <f t="shared" si="20"/>
        <v>#N/A</v>
      </c>
      <c r="X62" s="175"/>
      <c r="Y62" s="175"/>
      <c r="Z62" s="175" t="e">
        <f t="shared" si="19"/>
        <v>#N/A</v>
      </c>
      <c r="AA62" s="175"/>
      <c r="AB62" s="175"/>
      <c r="AC62" s="171"/>
      <c r="AD62" s="176"/>
      <c r="AF62" s="26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</row>
    <row r="63" spans="1:162" x14ac:dyDescent="0.25">
      <c r="A63" s="2"/>
      <c r="B63" s="86"/>
      <c r="C63" s="17" t="s">
        <v>334</v>
      </c>
      <c r="D63" s="173" t="s">
        <v>376</v>
      </c>
      <c r="E63" s="173"/>
      <c r="F63" s="173"/>
      <c r="G63" s="173"/>
      <c r="H63" s="173"/>
      <c r="I63" s="173"/>
      <c r="J63" s="174"/>
      <c r="K63" s="173"/>
      <c r="L63" s="173"/>
      <c r="M63" s="17" t="e">
        <f>HLOOKUP(D30,$AT$75:$EN$76,2)</f>
        <v>#N/A</v>
      </c>
      <c r="N63" s="175" t="e">
        <f t="shared" si="16"/>
        <v>#N/A</v>
      </c>
      <c r="O63" s="175"/>
      <c r="P63" s="175"/>
      <c r="Q63" s="175" t="e">
        <f t="shared" si="17"/>
        <v>#N/A</v>
      </c>
      <c r="R63" s="175"/>
      <c r="S63" s="175"/>
      <c r="T63" s="175" t="e">
        <f t="shared" si="18"/>
        <v>#N/A</v>
      </c>
      <c r="U63" s="175"/>
      <c r="V63" s="175"/>
      <c r="W63" s="175" t="e">
        <f t="shared" si="20"/>
        <v>#N/A</v>
      </c>
      <c r="X63" s="175"/>
      <c r="Y63" s="175"/>
      <c r="Z63" s="175" t="e">
        <f t="shared" si="19"/>
        <v>#N/A</v>
      </c>
      <c r="AA63" s="175"/>
      <c r="AB63" s="175"/>
      <c r="AC63" s="171"/>
      <c r="AD63" s="176"/>
      <c r="AF63" s="26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</row>
    <row r="64" spans="1:162" x14ac:dyDescent="0.25">
      <c r="A64" s="2"/>
      <c r="B64" s="86"/>
      <c r="C64" s="17" t="s">
        <v>335</v>
      </c>
      <c r="D64" s="173" t="s">
        <v>377</v>
      </c>
      <c r="E64" s="173"/>
      <c r="F64" s="173"/>
      <c r="G64" s="173"/>
      <c r="H64" s="173"/>
      <c r="I64" s="173"/>
      <c r="J64" s="174"/>
      <c r="K64" s="173"/>
      <c r="L64" s="173"/>
      <c r="M64" s="17" t="e">
        <f>HLOOKUP(D31,$AT$75:$EN$76,2)</f>
        <v>#N/A</v>
      </c>
      <c r="N64" s="175" t="e">
        <f t="shared" si="16"/>
        <v>#N/A</v>
      </c>
      <c r="O64" s="175"/>
      <c r="P64" s="175"/>
      <c r="Q64" s="175" t="e">
        <f t="shared" si="17"/>
        <v>#N/A</v>
      </c>
      <c r="R64" s="175"/>
      <c r="S64" s="175"/>
      <c r="T64" s="175" t="e">
        <f t="shared" si="18"/>
        <v>#N/A</v>
      </c>
      <c r="U64" s="175"/>
      <c r="V64" s="175"/>
      <c r="W64" s="175" t="e">
        <f t="shared" si="20"/>
        <v>#N/A</v>
      </c>
      <c r="X64" s="175"/>
      <c r="Y64" s="175"/>
      <c r="Z64" s="175" t="e">
        <f t="shared" si="19"/>
        <v>#N/A</v>
      </c>
      <c r="AA64" s="175"/>
      <c r="AB64" s="175"/>
      <c r="AC64" s="171"/>
      <c r="AD64" s="176"/>
      <c r="AF64" s="26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</row>
    <row r="65" spans="1:162" x14ac:dyDescent="0.25">
      <c r="A65" s="2"/>
      <c r="B65" s="86"/>
      <c r="C65" s="172" t="s">
        <v>32</v>
      </c>
      <c r="D65" s="173" t="s">
        <v>378</v>
      </c>
      <c r="E65" s="173"/>
      <c r="F65" s="173"/>
      <c r="G65" s="173"/>
      <c r="H65" s="173"/>
      <c r="I65" s="173"/>
      <c r="J65" s="174"/>
      <c r="K65" s="173"/>
      <c r="L65" s="173"/>
      <c r="M65" s="17" t="e">
        <f>HLOOKUP(D21,$AT$75:$EN$76,2)</f>
        <v>#N/A</v>
      </c>
      <c r="N65" s="175" t="e">
        <f t="shared" si="16"/>
        <v>#N/A</v>
      </c>
      <c r="O65" s="175"/>
      <c r="P65" s="175"/>
      <c r="Q65" s="175" t="e">
        <f t="shared" si="17"/>
        <v>#N/A</v>
      </c>
      <c r="R65" s="175"/>
      <c r="S65" s="175"/>
      <c r="T65" s="175" t="e">
        <f t="shared" si="18"/>
        <v>#N/A</v>
      </c>
      <c r="U65" s="175"/>
      <c r="V65" s="175"/>
      <c r="W65" s="175" t="e">
        <f t="shared" si="20"/>
        <v>#N/A</v>
      </c>
      <c r="X65" s="175"/>
      <c r="Y65" s="175"/>
      <c r="Z65" s="175" t="e">
        <f t="shared" si="19"/>
        <v>#N/A</v>
      </c>
      <c r="AA65" s="175"/>
      <c r="AB65" s="175"/>
      <c r="AC65" s="171"/>
      <c r="AD65" s="176"/>
      <c r="AF65" s="26"/>
      <c r="AS65" t="s">
        <v>379</v>
      </c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</row>
    <row r="66" spans="1:162" x14ac:dyDescent="0.25">
      <c r="A66" s="2"/>
      <c r="B66" s="86"/>
      <c r="C66" s="17" t="s">
        <v>336</v>
      </c>
      <c r="D66" s="173" t="s">
        <v>380</v>
      </c>
      <c r="E66" s="173"/>
      <c r="F66" s="173"/>
      <c r="G66" s="173"/>
      <c r="H66" s="173"/>
      <c r="I66" s="173"/>
      <c r="J66" s="174"/>
      <c r="K66" s="173"/>
      <c r="L66" s="173"/>
      <c r="M66" s="17" t="e">
        <f>HLOOKUP(D32,$AT$75:$EN$76,2)</f>
        <v>#N/A</v>
      </c>
      <c r="N66" s="175" t="e">
        <f t="shared" si="16"/>
        <v>#N/A</v>
      </c>
      <c r="O66" s="175"/>
      <c r="P66" s="175"/>
      <c r="Q66" s="175" t="e">
        <f t="shared" si="17"/>
        <v>#N/A</v>
      </c>
      <c r="R66" s="175"/>
      <c r="S66" s="175"/>
      <c r="T66" s="175" t="e">
        <f t="shared" si="18"/>
        <v>#N/A</v>
      </c>
      <c r="U66" s="175"/>
      <c r="V66" s="175"/>
      <c r="W66" s="175" t="e">
        <f t="shared" si="20"/>
        <v>#N/A</v>
      </c>
      <c r="X66" s="175"/>
      <c r="Y66" s="175"/>
      <c r="Z66" s="175" t="e">
        <f t="shared" si="19"/>
        <v>#N/A</v>
      </c>
      <c r="AA66" s="175"/>
      <c r="AB66" s="175"/>
      <c r="AC66" s="171"/>
      <c r="AD66" s="176"/>
      <c r="AF66" s="26"/>
      <c r="AT66">
        <v>24</v>
      </c>
      <c r="AU66">
        <v>25</v>
      </c>
      <c r="AV66">
        <v>26</v>
      </c>
      <c r="AW66">
        <v>27</v>
      </c>
      <c r="AX66">
        <v>28</v>
      </c>
      <c r="AY66">
        <v>29</v>
      </c>
      <c r="AZ66">
        <v>30</v>
      </c>
      <c r="BA66">
        <v>31</v>
      </c>
      <c r="BB66">
        <v>32</v>
      </c>
      <c r="BC66">
        <v>33</v>
      </c>
      <c r="BD66">
        <v>34</v>
      </c>
      <c r="BE66">
        <v>35</v>
      </c>
      <c r="BF66">
        <v>36</v>
      </c>
      <c r="BG66">
        <v>37</v>
      </c>
      <c r="BH66">
        <v>38</v>
      </c>
      <c r="BI66">
        <v>39</v>
      </c>
      <c r="BJ66">
        <v>40</v>
      </c>
      <c r="BK66">
        <v>41</v>
      </c>
      <c r="BL66">
        <v>42</v>
      </c>
      <c r="BM66">
        <v>43</v>
      </c>
      <c r="BN66">
        <v>44</v>
      </c>
      <c r="BO66">
        <v>45</v>
      </c>
      <c r="BP66">
        <v>46</v>
      </c>
      <c r="BQ66">
        <v>47</v>
      </c>
      <c r="BR66">
        <v>48</v>
      </c>
      <c r="BS66">
        <v>49</v>
      </c>
      <c r="BT66">
        <v>50</v>
      </c>
      <c r="BU66">
        <v>51</v>
      </c>
      <c r="BV66">
        <v>52</v>
      </c>
      <c r="BW66">
        <v>53</v>
      </c>
      <c r="BX66">
        <v>54</v>
      </c>
      <c r="BY66">
        <v>55</v>
      </c>
      <c r="BZ66">
        <v>56</v>
      </c>
      <c r="CA66">
        <v>57</v>
      </c>
      <c r="CB66">
        <v>58</v>
      </c>
      <c r="CC66">
        <v>59</v>
      </c>
      <c r="CD66">
        <v>60</v>
      </c>
      <c r="CE66">
        <v>61</v>
      </c>
      <c r="CF66">
        <v>62</v>
      </c>
      <c r="CG66">
        <v>63</v>
      </c>
      <c r="CH66">
        <v>64</v>
      </c>
      <c r="CI66">
        <v>65</v>
      </c>
      <c r="CJ66">
        <v>66</v>
      </c>
      <c r="CK66">
        <v>67</v>
      </c>
      <c r="CL66">
        <v>68</v>
      </c>
      <c r="CM66">
        <v>69</v>
      </c>
      <c r="CN66">
        <v>70</v>
      </c>
      <c r="CO66">
        <v>71</v>
      </c>
      <c r="CP66">
        <v>72</v>
      </c>
      <c r="CQ66">
        <v>73</v>
      </c>
      <c r="CR66">
        <v>74</v>
      </c>
      <c r="CS66">
        <v>75</v>
      </c>
      <c r="CT66">
        <v>76</v>
      </c>
      <c r="CU66">
        <v>77</v>
      </c>
      <c r="CV66">
        <v>78</v>
      </c>
      <c r="CW66">
        <v>79</v>
      </c>
      <c r="CX66">
        <v>80</v>
      </c>
      <c r="CY66">
        <v>81</v>
      </c>
      <c r="CZ66">
        <v>82</v>
      </c>
      <c r="DA66">
        <v>83</v>
      </c>
      <c r="DB66">
        <v>84</v>
      </c>
      <c r="DC66">
        <v>85</v>
      </c>
      <c r="DD66">
        <v>86</v>
      </c>
      <c r="DE66">
        <v>87</v>
      </c>
      <c r="DF66">
        <v>88</v>
      </c>
      <c r="DG66">
        <v>89</v>
      </c>
      <c r="DH66">
        <v>90</v>
      </c>
      <c r="DI66">
        <v>91</v>
      </c>
      <c r="DJ66">
        <v>92</v>
      </c>
      <c r="DK66">
        <v>93</v>
      </c>
      <c r="DL66">
        <v>94</v>
      </c>
      <c r="DM66">
        <v>95</v>
      </c>
      <c r="DN66">
        <v>96</v>
      </c>
      <c r="DO66">
        <v>97</v>
      </c>
      <c r="DP66">
        <v>98</v>
      </c>
      <c r="DQ66">
        <v>99</v>
      </c>
      <c r="DR66">
        <v>100</v>
      </c>
      <c r="DS66">
        <v>101</v>
      </c>
      <c r="DT66">
        <v>102</v>
      </c>
      <c r="DU66">
        <v>103</v>
      </c>
      <c r="DV66">
        <v>104</v>
      </c>
      <c r="DW66">
        <v>105</v>
      </c>
      <c r="DX66">
        <v>106</v>
      </c>
      <c r="DY66">
        <v>107</v>
      </c>
      <c r="DZ66">
        <v>108</v>
      </c>
      <c r="EA66">
        <v>109</v>
      </c>
      <c r="EB66">
        <v>110</v>
      </c>
      <c r="EC66">
        <v>111</v>
      </c>
      <c r="ED66">
        <v>112</v>
      </c>
      <c r="EE66">
        <v>113</v>
      </c>
      <c r="EF66">
        <v>114</v>
      </c>
      <c r="EG66">
        <v>115</v>
      </c>
      <c r="EH66">
        <v>116</v>
      </c>
      <c r="EI66">
        <v>117</v>
      </c>
      <c r="EJ66">
        <v>118</v>
      </c>
      <c r="EK66">
        <v>119</v>
      </c>
      <c r="EL66">
        <v>120</v>
      </c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</row>
    <row r="67" spans="1:162" x14ac:dyDescent="0.25">
      <c r="A67" s="2"/>
      <c r="B67" s="86"/>
      <c r="C67" s="17" t="s">
        <v>337</v>
      </c>
      <c r="D67" s="177" t="s">
        <v>381</v>
      </c>
      <c r="E67" s="177"/>
      <c r="F67" s="177"/>
      <c r="G67" s="177"/>
      <c r="H67" s="177"/>
      <c r="I67" s="177"/>
      <c r="J67" s="177"/>
      <c r="K67" s="177"/>
      <c r="L67" s="177"/>
      <c r="M67" s="17" t="e">
        <f>HLOOKUP(D33,$AT$75:$EN$76,2)</f>
        <v>#N/A</v>
      </c>
      <c r="N67" s="175" t="e">
        <f t="shared" si="16"/>
        <v>#N/A</v>
      </c>
      <c r="O67" s="175"/>
      <c r="P67" s="175"/>
      <c r="Q67" s="175" t="e">
        <f t="shared" si="17"/>
        <v>#N/A</v>
      </c>
      <c r="R67" s="175"/>
      <c r="S67" s="175"/>
      <c r="T67" s="175" t="e">
        <f t="shared" si="18"/>
        <v>#N/A</v>
      </c>
      <c r="U67" s="175"/>
      <c r="V67" s="175"/>
      <c r="W67" s="175" t="e">
        <f t="shared" si="20"/>
        <v>#N/A</v>
      </c>
      <c r="X67" s="175"/>
      <c r="Y67" s="175"/>
      <c r="Z67" s="175" t="e">
        <f t="shared" si="19"/>
        <v>#N/A</v>
      </c>
      <c r="AA67" s="175"/>
      <c r="AB67" s="175"/>
      <c r="AC67" s="171"/>
      <c r="AD67" s="176"/>
      <c r="AF67" s="26"/>
      <c r="AS67" t="s">
        <v>14</v>
      </c>
      <c r="AT67">
        <v>27</v>
      </c>
      <c r="AU67">
        <v>27</v>
      </c>
      <c r="AV67">
        <v>27</v>
      </c>
      <c r="AW67">
        <v>27</v>
      </c>
      <c r="AX67">
        <v>27</v>
      </c>
      <c r="AY67">
        <v>27</v>
      </c>
      <c r="AZ67">
        <v>27</v>
      </c>
      <c r="BA67">
        <v>27</v>
      </c>
      <c r="BB67">
        <v>27</v>
      </c>
      <c r="BC67">
        <v>27</v>
      </c>
      <c r="BD67">
        <v>27</v>
      </c>
      <c r="BE67">
        <v>27</v>
      </c>
      <c r="BF67">
        <v>27</v>
      </c>
      <c r="BG67">
        <v>27</v>
      </c>
      <c r="BH67">
        <v>27</v>
      </c>
      <c r="BI67">
        <v>27</v>
      </c>
      <c r="BJ67">
        <v>27</v>
      </c>
      <c r="BK67">
        <v>27</v>
      </c>
      <c r="BL67">
        <v>27</v>
      </c>
      <c r="BM67">
        <v>27</v>
      </c>
      <c r="BN67">
        <v>27</v>
      </c>
      <c r="BO67">
        <v>27</v>
      </c>
      <c r="BP67">
        <v>27</v>
      </c>
      <c r="BQ67">
        <v>27</v>
      </c>
      <c r="BR67">
        <v>27</v>
      </c>
      <c r="BS67">
        <v>27</v>
      </c>
      <c r="BT67">
        <v>27</v>
      </c>
      <c r="BU67">
        <v>27</v>
      </c>
      <c r="BV67">
        <v>29</v>
      </c>
      <c r="BW67">
        <v>29</v>
      </c>
      <c r="BX67">
        <v>31</v>
      </c>
      <c r="BY67">
        <v>31</v>
      </c>
      <c r="BZ67">
        <v>31</v>
      </c>
      <c r="CA67">
        <v>32</v>
      </c>
      <c r="CB67">
        <v>34</v>
      </c>
      <c r="CC67">
        <v>34</v>
      </c>
      <c r="CD67">
        <v>34</v>
      </c>
      <c r="CE67">
        <v>37</v>
      </c>
      <c r="CF67">
        <v>37</v>
      </c>
      <c r="CG67">
        <v>37</v>
      </c>
      <c r="CH67">
        <v>40</v>
      </c>
      <c r="CI67">
        <v>40</v>
      </c>
      <c r="CJ67">
        <v>42</v>
      </c>
      <c r="CK67">
        <v>42</v>
      </c>
      <c r="CL67">
        <v>43</v>
      </c>
      <c r="CM67">
        <v>43</v>
      </c>
      <c r="CN67">
        <v>44</v>
      </c>
      <c r="CO67">
        <v>46</v>
      </c>
      <c r="CP67">
        <v>46</v>
      </c>
      <c r="CQ67">
        <v>47</v>
      </c>
      <c r="CR67">
        <v>49</v>
      </c>
      <c r="CS67">
        <v>50</v>
      </c>
      <c r="CT67">
        <v>51</v>
      </c>
      <c r="CU67">
        <v>53</v>
      </c>
      <c r="CV67">
        <v>53</v>
      </c>
      <c r="CW67">
        <v>54</v>
      </c>
      <c r="CX67">
        <v>56</v>
      </c>
      <c r="CY67">
        <v>57</v>
      </c>
      <c r="CZ67">
        <v>57</v>
      </c>
      <c r="DA67">
        <v>58</v>
      </c>
      <c r="DB67">
        <v>60</v>
      </c>
      <c r="DC67">
        <v>60</v>
      </c>
      <c r="DD67">
        <v>63</v>
      </c>
      <c r="DE67">
        <v>63</v>
      </c>
      <c r="DF67">
        <v>63</v>
      </c>
      <c r="DG67">
        <v>66</v>
      </c>
      <c r="DH67">
        <v>66</v>
      </c>
      <c r="DI67">
        <v>66</v>
      </c>
      <c r="DJ67">
        <v>68</v>
      </c>
      <c r="DK67">
        <v>68</v>
      </c>
      <c r="DL67">
        <v>69</v>
      </c>
      <c r="DM67">
        <v>71</v>
      </c>
      <c r="DN67">
        <v>71</v>
      </c>
      <c r="DO67">
        <v>71</v>
      </c>
      <c r="DP67">
        <v>71</v>
      </c>
      <c r="DQ67">
        <v>73</v>
      </c>
      <c r="DR67">
        <v>73</v>
      </c>
      <c r="DS67">
        <v>73</v>
      </c>
      <c r="DT67">
        <v>73</v>
      </c>
      <c r="DU67">
        <v>73</v>
      </c>
      <c r="DV67">
        <v>73</v>
      </c>
      <c r="DW67">
        <v>73</v>
      </c>
      <c r="DX67">
        <v>73</v>
      </c>
      <c r="DY67">
        <v>73</v>
      </c>
      <c r="DZ67">
        <v>73</v>
      </c>
      <c r="EA67">
        <v>73</v>
      </c>
      <c r="EB67">
        <v>73</v>
      </c>
      <c r="EC67">
        <v>73</v>
      </c>
      <c r="ED67">
        <v>73</v>
      </c>
      <c r="EE67">
        <v>73</v>
      </c>
      <c r="EF67">
        <v>73</v>
      </c>
      <c r="EG67">
        <v>73</v>
      </c>
      <c r="EH67">
        <v>73</v>
      </c>
      <c r="EI67">
        <v>73</v>
      </c>
      <c r="EJ67">
        <v>73</v>
      </c>
      <c r="EK67">
        <v>73</v>
      </c>
      <c r="EL67">
        <v>73</v>
      </c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</row>
    <row r="68" spans="1:162" ht="15.75" thickBot="1" x14ac:dyDescent="0.3">
      <c r="A68" s="2"/>
      <c r="B68" s="17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9"/>
      <c r="AF68" s="26"/>
      <c r="AS68" t="s">
        <v>20</v>
      </c>
      <c r="AT68">
        <v>27</v>
      </c>
      <c r="AU68">
        <v>27</v>
      </c>
      <c r="AV68">
        <v>27</v>
      </c>
      <c r="AW68">
        <v>27</v>
      </c>
      <c r="AX68">
        <v>27</v>
      </c>
      <c r="AY68">
        <v>27</v>
      </c>
      <c r="AZ68">
        <v>27</v>
      </c>
      <c r="BA68">
        <v>27</v>
      </c>
      <c r="BB68">
        <v>27</v>
      </c>
      <c r="BC68">
        <v>27</v>
      </c>
      <c r="BD68">
        <v>27</v>
      </c>
      <c r="BE68">
        <v>27</v>
      </c>
      <c r="BF68">
        <v>27</v>
      </c>
      <c r="BG68">
        <v>27</v>
      </c>
      <c r="BH68">
        <v>27</v>
      </c>
      <c r="BI68">
        <v>27</v>
      </c>
      <c r="BJ68">
        <v>27</v>
      </c>
      <c r="BK68">
        <v>27</v>
      </c>
      <c r="BL68">
        <v>27</v>
      </c>
      <c r="BM68">
        <v>27</v>
      </c>
      <c r="BN68">
        <v>27</v>
      </c>
      <c r="BO68">
        <v>27</v>
      </c>
      <c r="BP68">
        <v>27</v>
      </c>
      <c r="BQ68">
        <v>27</v>
      </c>
      <c r="BR68">
        <v>27</v>
      </c>
      <c r="BS68">
        <v>27</v>
      </c>
      <c r="BT68">
        <v>27</v>
      </c>
      <c r="BU68">
        <v>27</v>
      </c>
      <c r="BV68">
        <v>27</v>
      </c>
      <c r="BW68">
        <v>27</v>
      </c>
      <c r="BX68">
        <v>27</v>
      </c>
      <c r="BY68">
        <v>27</v>
      </c>
      <c r="BZ68">
        <v>27</v>
      </c>
      <c r="CA68">
        <v>27</v>
      </c>
      <c r="CB68">
        <v>27</v>
      </c>
      <c r="CC68">
        <v>27</v>
      </c>
      <c r="CD68">
        <v>29</v>
      </c>
      <c r="CE68">
        <v>29</v>
      </c>
      <c r="CF68">
        <v>29</v>
      </c>
      <c r="CG68">
        <v>29</v>
      </c>
      <c r="CH68">
        <v>31</v>
      </c>
      <c r="CI68">
        <v>31</v>
      </c>
      <c r="CJ68">
        <v>32</v>
      </c>
      <c r="CK68">
        <v>34</v>
      </c>
      <c r="CL68">
        <v>34</v>
      </c>
      <c r="CM68">
        <v>34</v>
      </c>
      <c r="CN68">
        <v>34</v>
      </c>
      <c r="CO68">
        <v>37</v>
      </c>
      <c r="CP68">
        <v>37</v>
      </c>
      <c r="CQ68">
        <v>37</v>
      </c>
      <c r="CR68">
        <v>40</v>
      </c>
      <c r="CS68">
        <v>40</v>
      </c>
      <c r="CT68">
        <v>42</v>
      </c>
      <c r="CU68">
        <v>43</v>
      </c>
      <c r="CV68">
        <v>43</v>
      </c>
      <c r="CW68">
        <v>44</v>
      </c>
      <c r="CX68">
        <v>46</v>
      </c>
      <c r="CY68">
        <v>47</v>
      </c>
      <c r="CZ68">
        <v>49</v>
      </c>
      <c r="DA68">
        <v>49</v>
      </c>
      <c r="DB68">
        <v>50</v>
      </c>
      <c r="DC68">
        <v>51</v>
      </c>
      <c r="DD68">
        <v>53</v>
      </c>
      <c r="DE68">
        <v>54</v>
      </c>
      <c r="DF68">
        <v>56</v>
      </c>
      <c r="DG68">
        <v>57</v>
      </c>
      <c r="DH68">
        <v>58</v>
      </c>
      <c r="DI68">
        <v>58</v>
      </c>
      <c r="DJ68">
        <v>60</v>
      </c>
      <c r="DK68">
        <v>60</v>
      </c>
      <c r="DL68">
        <v>63</v>
      </c>
      <c r="DM68">
        <v>63</v>
      </c>
      <c r="DN68">
        <v>63</v>
      </c>
      <c r="DO68">
        <v>66</v>
      </c>
      <c r="DP68">
        <v>66</v>
      </c>
      <c r="DQ68">
        <v>66</v>
      </c>
      <c r="DR68">
        <v>69</v>
      </c>
      <c r="DS68">
        <v>71</v>
      </c>
      <c r="DT68">
        <v>71</v>
      </c>
      <c r="DU68">
        <v>71</v>
      </c>
      <c r="DV68">
        <v>73</v>
      </c>
      <c r="DW68">
        <v>73</v>
      </c>
      <c r="DX68">
        <v>73</v>
      </c>
      <c r="DY68">
        <v>73</v>
      </c>
      <c r="DZ68">
        <v>73</v>
      </c>
      <c r="EA68">
        <v>73</v>
      </c>
      <c r="EB68">
        <v>73</v>
      </c>
      <c r="EC68">
        <v>73</v>
      </c>
      <c r="ED68">
        <v>73</v>
      </c>
      <c r="EE68">
        <v>73</v>
      </c>
      <c r="EF68">
        <v>73</v>
      </c>
      <c r="EG68">
        <v>73</v>
      </c>
      <c r="EH68">
        <v>73</v>
      </c>
      <c r="EI68">
        <v>73</v>
      </c>
      <c r="EJ68">
        <v>73</v>
      </c>
      <c r="EK68">
        <v>73</v>
      </c>
      <c r="EL68">
        <v>73</v>
      </c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</row>
    <row r="69" spans="1:162" x14ac:dyDescent="0.25">
      <c r="A69" s="2"/>
      <c r="B69" s="86"/>
      <c r="AF69" s="26"/>
      <c r="AS69" t="s">
        <v>24</v>
      </c>
      <c r="AT69">
        <v>27</v>
      </c>
      <c r="AU69">
        <v>27</v>
      </c>
      <c r="AV69">
        <v>27</v>
      </c>
      <c r="AW69">
        <v>27</v>
      </c>
      <c r="AX69">
        <v>27</v>
      </c>
      <c r="AY69">
        <v>27</v>
      </c>
      <c r="AZ69">
        <v>27</v>
      </c>
      <c r="BA69">
        <v>27</v>
      </c>
      <c r="BB69">
        <v>27</v>
      </c>
      <c r="BC69">
        <v>27</v>
      </c>
      <c r="BD69">
        <v>27</v>
      </c>
      <c r="BE69">
        <v>27</v>
      </c>
      <c r="BF69">
        <v>27</v>
      </c>
      <c r="BG69">
        <v>27</v>
      </c>
      <c r="BH69">
        <v>27</v>
      </c>
      <c r="BI69">
        <v>27</v>
      </c>
      <c r="BJ69">
        <v>27</v>
      </c>
      <c r="BK69">
        <v>27</v>
      </c>
      <c r="BL69">
        <v>27</v>
      </c>
      <c r="BM69">
        <v>27</v>
      </c>
      <c r="BN69">
        <v>27</v>
      </c>
      <c r="BO69">
        <v>27</v>
      </c>
      <c r="BP69">
        <v>27</v>
      </c>
      <c r="BQ69">
        <v>27</v>
      </c>
      <c r="BR69">
        <v>27</v>
      </c>
      <c r="BS69">
        <v>27</v>
      </c>
      <c r="BT69">
        <v>27</v>
      </c>
      <c r="BU69">
        <v>27</v>
      </c>
      <c r="BV69">
        <v>27</v>
      </c>
      <c r="BW69">
        <v>27</v>
      </c>
      <c r="BX69">
        <v>27</v>
      </c>
      <c r="BY69">
        <v>27</v>
      </c>
      <c r="BZ69">
        <v>27</v>
      </c>
      <c r="CA69">
        <v>27</v>
      </c>
      <c r="CB69">
        <v>29</v>
      </c>
      <c r="CC69">
        <v>29</v>
      </c>
      <c r="CD69">
        <v>31</v>
      </c>
      <c r="CE69">
        <v>31</v>
      </c>
      <c r="CF69">
        <v>32</v>
      </c>
      <c r="CG69">
        <v>34</v>
      </c>
      <c r="CH69">
        <v>34</v>
      </c>
      <c r="CI69">
        <v>34</v>
      </c>
      <c r="CJ69">
        <v>37</v>
      </c>
      <c r="CK69">
        <v>37</v>
      </c>
      <c r="CL69">
        <v>37</v>
      </c>
      <c r="CM69">
        <v>37</v>
      </c>
      <c r="CN69">
        <v>40</v>
      </c>
      <c r="CO69">
        <v>40</v>
      </c>
      <c r="CP69">
        <v>42</v>
      </c>
      <c r="CQ69">
        <v>42</v>
      </c>
      <c r="CR69">
        <v>43</v>
      </c>
      <c r="CS69">
        <v>44</v>
      </c>
      <c r="CT69">
        <v>44</v>
      </c>
      <c r="CU69">
        <v>46</v>
      </c>
      <c r="CV69">
        <v>47</v>
      </c>
      <c r="CW69">
        <v>49</v>
      </c>
      <c r="CX69">
        <v>50</v>
      </c>
      <c r="CY69">
        <v>51</v>
      </c>
      <c r="CZ69">
        <v>51</v>
      </c>
      <c r="DA69">
        <v>53</v>
      </c>
      <c r="DB69">
        <v>54</v>
      </c>
      <c r="DC69">
        <v>54</v>
      </c>
      <c r="DD69">
        <v>56</v>
      </c>
      <c r="DE69">
        <v>57</v>
      </c>
      <c r="DF69">
        <v>58</v>
      </c>
      <c r="DG69">
        <v>58</v>
      </c>
      <c r="DH69">
        <v>60</v>
      </c>
      <c r="DI69">
        <v>60</v>
      </c>
      <c r="DJ69">
        <v>60</v>
      </c>
      <c r="DK69">
        <v>63</v>
      </c>
      <c r="DL69">
        <v>63</v>
      </c>
      <c r="DM69">
        <v>63</v>
      </c>
      <c r="DN69">
        <v>66</v>
      </c>
      <c r="DO69">
        <v>66</v>
      </c>
      <c r="DP69">
        <v>66</v>
      </c>
      <c r="DQ69">
        <v>68</v>
      </c>
      <c r="DR69">
        <v>69</v>
      </c>
      <c r="DS69">
        <v>69</v>
      </c>
      <c r="DT69">
        <v>71</v>
      </c>
      <c r="DU69">
        <v>73</v>
      </c>
      <c r="DV69">
        <v>73</v>
      </c>
      <c r="DW69">
        <v>73</v>
      </c>
      <c r="DX69">
        <v>73</v>
      </c>
      <c r="DY69">
        <v>73</v>
      </c>
      <c r="DZ69">
        <v>73</v>
      </c>
      <c r="EA69">
        <v>73</v>
      </c>
      <c r="EB69">
        <v>73</v>
      </c>
      <c r="EC69">
        <v>73</v>
      </c>
      <c r="ED69">
        <v>73</v>
      </c>
      <c r="EE69">
        <v>73</v>
      </c>
      <c r="EF69">
        <v>73</v>
      </c>
      <c r="EG69">
        <v>73</v>
      </c>
      <c r="EH69">
        <v>73</v>
      </c>
      <c r="EI69">
        <v>73</v>
      </c>
      <c r="EJ69">
        <v>73</v>
      </c>
      <c r="EK69">
        <v>73</v>
      </c>
      <c r="EL69">
        <v>73</v>
      </c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</row>
    <row r="70" spans="1:162" x14ac:dyDescent="0.25">
      <c r="A70" s="2"/>
      <c r="B70" s="179"/>
      <c r="M70" s="180"/>
      <c r="N70" s="181"/>
      <c r="O70" s="181"/>
      <c r="P70" s="181"/>
      <c r="Q70" s="181"/>
      <c r="R70" s="181"/>
      <c r="S70" s="181"/>
      <c r="T70" s="182"/>
      <c r="U70" s="182"/>
      <c r="AF70" s="26"/>
      <c r="AS70" t="s">
        <v>28</v>
      </c>
      <c r="AT70">
        <v>27</v>
      </c>
      <c r="AU70">
        <v>27</v>
      </c>
      <c r="AV70">
        <v>27</v>
      </c>
      <c r="AW70">
        <v>27</v>
      </c>
      <c r="AX70">
        <v>27</v>
      </c>
      <c r="AY70">
        <v>27</v>
      </c>
      <c r="AZ70">
        <v>27</v>
      </c>
      <c r="BA70">
        <v>27</v>
      </c>
      <c r="BB70">
        <v>27</v>
      </c>
      <c r="BC70">
        <v>27</v>
      </c>
      <c r="BD70">
        <v>27</v>
      </c>
      <c r="BE70">
        <v>27</v>
      </c>
      <c r="BF70">
        <v>27</v>
      </c>
      <c r="BG70">
        <v>29</v>
      </c>
      <c r="BH70">
        <v>31</v>
      </c>
      <c r="BI70">
        <v>32</v>
      </c>
      <c r="BJ70">
        <v>32</v>
      </c>
      <c r="BK70">
        <v>34</v>
      </c>
      <c r="BL70">
        <v>34</v>
      </c>
      <c r="BM70">
        <v>34</v>
      </c>
      <c r="BN70">
        <v>34</v>
      </c>
      <c r="BO70">
        <v>37</v>
      </c>
      <c r="BP70">
        <v>37</v>
      </c>
      <c r="BQ70">
        <v>37</v>
      </c>
      <c r="BR70">
        <v>37</v>
      </c>
      <c r="BS70">
        <v>37</v>
      </c>
      <c r="BT70">
        <v>40</v>
      </c>
      <c r="BU70">
        <v>40</v>
      </c>
      <c r="BV70">
        <v>40</v>
      </c>
      <c r="BW70">
        <v>42</v>
      </c>
      <c r="BX70">
        <v>42</v>
      </c>
      <c r="BY70">
        <v>43</v>
      </c>
      <c r="BZ70">
        <v>43</v>
      </c>
      <c r="CA70">
        <v>43</v>
      </c>
      <c r="CB70">
        <v>44</v>
      </c>
      <c r="CC70">
        <v>44</v>
      </c>
      <c r="CD70">
        <v>46</v>
      </c>
      <c r="CE70">
        <v>46</v>
      </c>
      <c r="CF70">
        <v>47</v>
      </c>
      <c r="CG70">
        <v>49</v>
      </c>
      <c r="CH70">
        <v>49</v>
      </c>
      <c r="CI70">
        <v>50</v>
      </c>
      <c r="CJ70">
        <v>50</v>
      </c>
      <c r="CK70">
        <v>51</v>
      </c>
      <c r="CL70">
        <v>51</v>
      </c>
      <c r="CM70">
        <v>53</v>
      </c>
      <c r="CN70">
        <v>54</v>
      </c>
      <c r="CO70">
        <v>54</v>
      </c>
      <c r="CP70">
        <v>56</v>
      </c>
      <c r="CQ70">
        <v>56</v>
      </c>
      <c r="CR70">
        <v>57</v>
      </c>
      <c r="CS70">
        <v>57</v>
      </c>
      <c r="CT70">
        <v>58</v>
      </c>
      <c r="CU70">
        <v>58</v>
      </c>
      <c r="CV70">
        <v>60</v>
      </c>
      <c r="CW70">
        <v>60</v>
      </c>
      <c r="CX70">
        <v>60</v>
      </c>
      <c r="CY70">
        <v>63</v>
      </c>
      <c r="CZ70">
        <v>63</v>
      </c>
      <c r="DA70">
        <v>63</v>
      </c>
      <c r="DB70">
        <v>66</v>
      </c>
      <c r="DC70">
        <v>66</v>
      </c>
      <c r="DD70">
        <v>66</v>
      </c>
      <c r="DE70">
        <v>68</v>
      </c>
      <c r="DF70">
        <v>69</v>
      </c>
      <c r="DG70">
        <v>69</v>
      </c>
      <c r="DH70">
        <v>71</v>
      </c>
      <c r="DI70">
        <v>73</v>
      </c>
      <c r="DJ70">
        <v>73</v>
      </c>
      <c r="DK70">
        <v>73</v>
      </c>
      <c r="DL70">
        <v>73</v>
      </c>
      <c r="DM70">
        <v>73</v>
      </c>
      <c r="DN70">
        <v>73</v>
      </c>
      <c r="DO70">
        <v>73</v>
      </c>
      <c r="DP70">
        <v>73</v>
      </c>
      <c r="DQ70">
        <v>73</v>
      </c>
      <c r="DR70">
        <v>73</v>
      </c>
      <c r="DS70">
        <v>73</v>
      </c>
      <c r="DT70">
        <v>73</v>
      </c>
      <c r="DU70">
        <v>73</v>
      </c>
      <c r="DV70">
        <v>73</v>
      </c>
      <c r="DW70">
        <v>73</v>
      </c>
      <c r="DX70">
        <v>73</v>
      </c>
      <c r="DY70">
        <v>73</v>
      </c>
      <c r="DZ70">
        <v>73</v>
      </c>
      <c r="EA70">
        <v>73</v>
      </c>
      <c r="EB70">
        <v>73</v>
      </c>
      <c r="EC70">
        <v>73</v>
      </c>
      <c r="ED70">
        <v>73</v>
      </c>
      <c r="EE70">
        <v>73</v>
      </c>
      <c r="EF70">
        <v>73</v>
      </c>
      <c r="EG70">
        <v>73</v>
      </c>
      <c r="EH70">
        <v>73</v>
      </c>
      <c r="EI70">
        <v>73</v>
      </c>
      <c r="EJ70">
        <v>73</v>
      </c>
      <c r="EK70">
        <v>73</v>
      </c>
      <c r="EL70">
        <v>73</v>
      </c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</row>
    <row r="71" spans="1:162" x14ac:dyDescent="0.25">
      <c r="A71" s="2"/>
      <c r="B71" s="179"/>
      <c r="AF71" s="26"/>
      <c r="AS71" t="s">
        <v>32</v>
      </c>
      <c r="AT71">
        <v>27</v>
      </c>
      <c r="AU71">
        <v>27</v>
      </c>
      <c r="AV71">
        <v>27</v>
      </c>
      <c r="AW71">
        <v>27</v>
      </c>
      <c r="AX71">
        <v>27</v>
      </c>
      <c r="AY71">
        <v>27</v>
      </c>
      <c r="AZ71">
        <v>27</v>
      </c>
      <c r="BA71">
        <v>27</v>
      </c>
      <c r="BB71">
        <v>27</v>
      </c>
      <c r="BC71">
        <v>27</v>
      </c>
      <c r="BD71">
        <v>27</v>
      </c>
      <c r="BE71">
        <v>27</v>
      </c>
      <c r="BF71">
        <v>27</v>
      </c>
      <c r="BG71">
        <v>27</v>
      </c>
      <c r="BH71">
        <v>27</v>
      </c>
      <c r="BI71">
        <v>27</v>
      </c>
      <c r="BJ71">
        <v>27</v>
      </c>
      <c r="BK71">
        <v>27</v>
      </c>
      <c r="BL71">
        <v>27</v>
      </c>
      <c r="BM71">
        <v>27</v>
      </c>
      <c r="BN71">
        <v>27</v>
      </c>
      <c r="BO71">
        <v>27</v>
      </c>
      <c r="BP71">
        <v>27</v>
      </c>
      <c r="BQ71">
        <v>27</v>
      </c>
      <c r="BR71">
        <v>27</v>
      </c>
      <c r="BS71">
        <v>27</v>
      </c>
      <c r="BT71">
        <v>27</v>
      </c>
      <c r="BU71">
        <v>27</v>
      </c>
      <c r="BV71">
        <v>27</v>
      </c>
      <c r="BW71">
        <v>27</v>
      </c>
      <c r="BX71">
        <v>27</v>
      </c>
      <c r="BY71">
        <v>27</v>
      </c>
      <c r="BZ71">
        <v>27</v>
      </c>
      <c r="CA71">
        <v>27</v>
      </c>
      <c r="CB71">
        <v>27</v>
      </c>
      <c r="CC71">
        <v>27</v>
      </c>
      <c r="CD71">
        <v>27</v>
      </c>
      <c r="CE71">
        <v>29</v>
      </c>
      <c r="CF71">
        <v>29</v>
      </c>
      <c r="CG71">
        <v>31</v>
      </c>
      <c r="CH71">
        <v>31</v>
      </c>
      <c r="CI71">
        <v>32</v>
      </c>
      <c r="CJ71">
        <v>32</v>
      </c>
      <c r="CK71">
        <v>34</v>
      </c>
      <c r="CL71">
        <v>34</v>
      </c>
      <c r="CM71">
        <v>37</v>
      </c>
      <c r="CN71">
        <v>37</v>
      </c>
      <c r="CO71">
        <v>37</v>
      </c>
      <c r="CP71">
        <v>37</v>
      </c>
      <c r="CQ71">
        <v>40</v>
      </c>
      <c r="CR71">
        <v>40</v>
      </c>
      <c r="CS71">
        <v>42</v>
      </c>
      <c r="CT71">
        <v>43</v>
      </c>
      <c r="CU71">
        <v>43</v>
      </c>
      <c r="CV71">
        <v>44</v>
      </c>
      <c r="CW71">
        <v>44</v>
      </c>
      <c r="CX71">
        <v>46</v>
      </c>
      <c r="CY71">
        <v>46</v>
      </c>
      <c r="CZ71">
        <v>47</v>
      </c>
      <c r="DA71">
        <v>49</v>
      </c>
      <c r="DB71">
        <v>50</v>
      </c>
      <c r="DC71">
        <v>51</v>
      </c>
      <c r="DD71">
        <v>53</v>
      </c>
      <c r="DE71">
        <v>54</v>
      </c>
      <c r="DF71">
        <v>54</v>
      </c>
      <c r="DG71">
        <v>56</v>
      </c>
      <c r="DH71">
        <v>57</v>
      </c>
      <c r="DI71">
        <v>57</v>
      </c>
      <c r="DJ71">
        <v>58</v>
      </c>
      <c r="DK71">
        <v>60</v>
      </c>
      <c r="DL71">
        <v>60</v>
      </c>
      <c r="DM71">
        <v>63</v>
      </c>
      <c r="DN71">
        <v>63</v>
      </c>
      <c r="DO71">
        <v>63</v>
      </c>
      <c r="DP71">
        <v>66</v>
      </c>
      <c r="DQ71">
        <v>66</v>
      </c>
      <c r="DR71">
        <v>66</v>
      </c>
      <c r="DS71">
        <v>68</v>
      </c>
      <c r="DT71">
        <v>69</v>
      </c>
      <c r="DU71">
        <v>71</v>
      </c>
      <c r="DV71">
        <v>71</v>
      </c>
      <c r="DW71">
        <v>73</v>
      </c>
      <c r="DX71">
        <v>73</v>
      </c>
      <c r="DY71">
        <v>73</v>
      </c>
      <c r="DZ71">
        <v>73</v>
      </c>
      <c r="EA71">
        <v>73</v>
      </c>
      <c r="EB71">
        <v>73</v>
      </c>
      <c r="EC71">
        <v>73</v>
      </c>
      <c r="ED71">
        <v>73</v>
      </c>
      <c r="EE71">
        <v>73</v>
      </c>
      <c r="EF71">
        <v>73</v>
      </c>
      <c r="EG71">
        <v>73</v>
      </c>
      <c r="EH71">
        <v>73</v>
      </c>
      <c r="EI71">
        <v>73</v>
      </c>
      <c r="EJ71">
        <v>73</v>
      </c>
      <c r="EK71">
        <v>73</v>
      </c>
      <c r="EL71">
        <v>73</v>
      </c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</row>
    <row r="72" spans="1:162" ht="15.75" thickBot="1" x14ac:dyDescent="0.3">
      <c r="A72" s="2"/>
      <c r="B72" s="17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9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</row>
  </sheetData>
  <mergeCells count="110">
    <mergeCell ref="T70:U70"/>
    <mergeCell ref="D67:L67"/>
    <mergeCell ref="N67:P67"/>
    <mergeCell ref="Q67:S67"/>
    <mergeCell ref="T67:V67"/>
    <mergeCell ref="W67:Y67"/>
    <mergeCell ref="Z67:AB67"/>
    <mergeCell ref="N65:P65"/>
    <mergeCell ref="Q65:S65"/>
    <mergeCell ref="T65:V65"/>
    <mergeCell ref="W65:Y65"/>
    <mergeCell ref="Z65:AB65"/>
    <mergeCell ref="N66:P66"/>
    <mergeCell ref="Q66:S66"/>
    <mergeCell ref="T66:V66"/>
    <mergeCell ref="W66:Y66"/>
    <mergeCell ref="Z66:AB66"/>
    <mergeCell ref="N63:P63"/>
    <mergeCell ref="Q63:S63"/>
    <mergeCell ref="T63:V63"/>
    <mergeCell ref="W63:Y63"/>
    <mergeCell ref="Z63:AB63"/>
    <mergeCell ref="N64:P64"/>
    <mergeCell ref="Q64:S64"/>
    <mergeCell ref="T64:V64"/>
    <mergeCell ref="W64:Y64"/>
    <mergeCell ref="Z64:AB64"/>
    <mergeCell ref="N61:P61"/>
    <mergeCell ref="Q61:S61"/>
    <mergeCell ref="T61:V61"/>
    <mergeCell ref="W61:Y61"/>
    <mergeCell ref="Z61:AB61"/>
    <mergeCell ref="N62:P62"/>
    <mergeCell ref="Q62:S62"/>
    <mergeCell ref="T62:V62"/>
    <mergeCell ref="W62:Y62"/>
    <mergeCell ref="Z62:AB62"/>
    <mergeCell ref="N59:P59"/>
    <mergeCell ref="Q59:S59"/>
    <mergeCell ref="T59:V59"/>
    <mergeCell ref="W59:Y59"/>
    <mergeCell ref="Z59:AB59"/>
    <mergeCell ref="N60:P60"/>
    <mergeCell ref="Q60:S60"/>
    <mergeCell ref="T60:V60"/>
    <mergeCell ref="W60:Y60"/>
    <mergeCell ref="Z60:AB60"/>
    <mergeCell ref="N57:P57"/>
    <mergeCell ref="Q57:S57"/>
    <mergeCell ref="T57:V57"/>
    <mergeCell ref="W57:Y57"/>
    <mergeCell ref="Z57:AB57"/>
    <mergeCell ref="N58:P58"/>
    <mergeCell ref="Q58:S58"/>
    <mergeCell ref="T58:V58"/>
    <mergeCell ref="W58:Y58"/>
    <mergeCell ref="Z58:AB58"/>
    <mergeCell ref="N55:P55"/>
    <mergeCell ref="Q55:S55"/>
    <mergeCell ref="T55:V55"/>
    <mergeCell ref="W55:Y55"/>
    <mergeCell ref="Z55:AB55"/>
    <mergeCell ref="N56:P56"/>
    <mergeCell ref="Q56:S56"/>
    <mergeCell ref="T56:V56"/>
    <mergeCell ref="W56:Y56"/>
    <mergeCell ref="Z56:AB56"/>
    <mergeCell ref="N53:P53"/>
    <mergeCell ref="Q53:S53"/>
    <mergeCell ref="T53:V53"/>
    <mergeCell ref="W53:Y53"/>
    <mergeCell ref="Z53:AB53"/>
    <mergeCell ref="N54:P54"/>
    <mergeCell ref="Q54:S54"/>
    <mergeCell ref="T54:V54"/>
    <mergeCell ref="W54:Y54"/>
    <mergeCell ref="Z54:AB54"/>
    <mergeCell ref="C45:AD45"/>
    <mergeCell ref="C47:AB47"/>
    <mergeCell ref="C49:AD49"/>
    <mergeCell ref="N52:P52"/>
    <mergeCell ref="Q52:S52"/>
    <mergeCell ref="T52:V52"/>
    <mergeCell ref="W52:Y52"/>
    <mergeCell ref="Z52:AB52"/>
    <mergeCell ref="E15:I15"/>
    <mergeCell ref="J15:N15"/>
    <mergeCell ref="O15:U15"/>
    <mergeCell ref="V15:Z15"/>
    <mergeCell ref="AA15:AE15"/>
    <mergeCell ref="E35:I35"/>
    <mergeCell ref="J35:N35"/>
    <mergeCell ref="O35:U35"/>
    <mergeCell ref="V35:Z35"/>
    <mergeCell ref="AA35:AE35"/>
    <mergeCell ref="D11:F11"/>
    <mergeCell ref="G11:S11"/>
    <mergeCell ref="X11:AD11"/>
    <mergeCell ref="D12:F12"/>
    <mergeCell ref="G12:S12"/>
    <mergeCell ref="D13:F13"/>
    <mergeCell ref="G13:S13"/>
    <mergeCell ref="D3:AE3"/>
    <mergeCell ref="D8:F8"/>
    <mergeCell ref="G8:S8"/>
    <mergeCell ref="D9:F9"/>
    <mergeCell ref="G9:S9"/>
    <mergeCell ref="D10:F10"/>
    <mergeCell ref="G10:S10"/>
    <mergeCell ref="U10:A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Anchundia Valencia, Carlos Eduardo</dc:creator>
  <cp:lastModifiedBy>Anchundia Valencia, Carlos Eduardo</cp:lastModifiedBy>
  <dcterms:created xsi:type="dcterms:W3CDTF">2026-07-21T19:59:17Z</dcterms:created>
  <dcterms:modified xsi:type="dcterms:W3CDTF">2026-07-21T20:16:34Z</dcterms:modified>
</cp:coreProperties>
</file>